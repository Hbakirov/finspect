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hlash" sheetId="1" state="visible" r:id="rId3"/>
    <sheet name="Xulosa" sheetId="2" state="visible" r:id="rId4"/>
    <sheet name="Kassa kitobi" sheetId="3" state="visible" r:id="rId5"/>
    <sheet name="Sotuvlar" sheetId="4" state="visible" r:id="rId6"/>
    <sheet name="Qarzdor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<sst xmlns="http://schemas.openxmlformats.org/spreadsheetml/2006/main" count="81" uniqueCount="71">
  <si>
    <t xml:space="preserve">Biznes uchun Kassa va Qarzdorlar hisobi</t>
  </si>
  <si>
    <t xml:space="preserve">Sariq kataklar - o'zingiz yozasiz. Oq kataklar - avtomatik, ustidan yozmang.</t>
  </si>
  <si>
    <t xml:space="preserve">Boshlang'ich kassa qoldig'i</t>
  </si>
  <si>
    <t xml:space="preserve">Birinchi yozuvdan oldin kassada bo'lgan pul (siz kiritasiz).</t>
  </si>
  <si>
    <t xml:space="preserve">Biznes nomi</t>
  </si>
  <si>
    <t xml:space="preserve">Mening biznesim</t>
  </si>
  <si>
    <t xml:space="preserve">QANDAY FOYDALANISH (3 qadam)</t>
  </si>
  <si>
    <t xml:space="preserve">1. Kassa kitobi: har bir pul kirimi va chiqimini yozing. Kelgan pul - 'Kirim' ustuniga, to'langan pul - 'Chiqim' ustuniga MINUS bilan (ijara 200 bo'lsa: -200). Qoldiq o'zi hisoblanadi.</t>
  </si>
  <si>
    <t xml:space="preserve">2. Sotuvlar: mijozga nasiyaga sotsangiz, shu yerga yozing (sana, mijoz, summa).</t>
  </si>
  <si>
    <t xml:space="preserve">3. Mijoz pul to'laganda: Kassa kitobiga 'Kirim' sifatida yozing va oxirgi ustunda mijoz nomini tanlang. Qarz avtomatik kamayadi.</t>
  </si>
  <si>
    <t xml:space="preserve">Yangi mijozni 'Qarzdorlar' varag'ining A ustuniga yozing - u ro'yxatda paydo bo'ladi.</t>
  </si>
  <si>
    <t xml:space="preserve">Xulosa varag'ida: kassadagi pul, mijozlar qarzi va oylar bo'yicha kirim-chiqim ko'rinadi. Yilni o'zgartirishingiz mumkin.</t>
  </si>
  <si>
    <t xml:space="preserve">'NAMUNA' deb yozilgan qatorlar ko'rsatma uchun - ularni o'chirib, o'zingiznikini yozing. Formulalar 504-qatorgacha tayyor.</t>
  </si>
  <si>
    <t xml:space="preserve">TOIFALAR (ro'yxatni o'zgartirishingiz mumkin - Kassa kitobida tanlanadi)</t>
  </si>
  <si>
    <t xml:space="preserve">Mijoz to'lovi</t>
  </si>
  <si>
    <t xml:space="preserve">Boshqa daromad</t>
  </si>
  <si>
    <t xml:space="preserve">Ijara</t>
  </si>
  <si>
    <t xml:space="preserve">Ish haqi</t>
  </si>
  <si>
    <t xml:space="preserve">Xomashyo / Materiallar</t>
  </si>
  <si>
    <t xml:space="preserve">Kommunal xizmatlar</t>
  </si>
  <si>
    <t xml:space="preserve">Transport</t>
  </si>
  <si>
    <t xml:space="preserve">Marketing</t>
  </si>
  <si>
    <t xml:space="preserve">Soliq</t>
  </si>
  <si>
    <t xml:space="preserve">Kredit / Egasi</t>
  </si>
  <si>
    <t xml:space="preserve">Boshqa xarajat</t>
  </si>
  <si>
    <t xml:space="preserve">Xulosa</t>
  </si>
  <si>
    <t xml:space="preserve">Hammasi avtomatik. Faqat yilni o'zgartirishingiz mumkin.</t>
  </si>
  <si>
    <t xml:space="preserve">Jami kirim</t>
  </si>
  <si>
    <t xml:space="preserve">Jami chiqim</t>
  </si>
  <si>
    <t xml:space="preserve">HOZIRGI KASSA QOLDIG'I</t>
  </si>
  <si>
    <t xml:space="preserve">MIJOZLAR QARZI (bizga qarzdor)</t>
  </si>
  <si>
    <t xml:space="preserve">Yil</t>
  </si>
  <si>
    <t xml:space="preserve">Oy</t>
  </si>
  <si>
    <t xml:space="preserve">Kirim</t>
  </si>
  <si>
    <t xml:space="preserve">Chiqim</t>
  </si>
  <si>
    <t xml:space="preserve">Sof pul oqimi</t>
  </si>
  <si>
    <t xml:space="preserve">Yanvar</t>
  </si>
  <si>
    <t xml:space="preserve">Fevral</t>
  </si>
  <si>
    <t xml:space="preserve">Mart</t>
  </si>
  <si>
    <t xml:space="preserve">Aprel</t>
  </si>
  <si>
    <t xml:space="preserve">May</t>
  </si>
  <si>
    <t xml:space="preserve">Iyun</t>
  </si>
  <si>
    <t xml:space="preserve">Iyul</t>
  </si>
  <si>
    <t xml:space="preserve">Avgust</t>
  </si>
  <si>
    <t xml:space="preserve">Sentabr</t>
  </si>
  <si>
    <t xml:space="preserve">Oktabr</t>
  </si>
  <si>
    <t xml:space="preserve">Noyabr</t>
  </si>
  <si>
    <t xml:space="preserve">Dekabr</t>
  </si>
  <si>
    <t xml:space="preserve">JAMI</t>
  </si>
  <si>
    <t xml:space="preserve">Kassa kitobi - pul kirimi va chiqimi</t>
  </si>
  <si>
    <t xml:space="preserve">Faqat sariq ustunlarga yozing. Kirim - musbat son, Chiqim - minus bilan (masalan -200). Qoldiq avtomatik.</t>
  </si>
  <si>
    <t xml:space="preserve">Sana</t>
  </si>
  <si>
    <t xml:space="preserve">Izoh</t>
  </si>
  <si>
    <t xml:space="preserve">Toifa</t>
  </si>
  <si>
    <t xml:space="preserve">Chiqim
(minus bilan)</t>
  </si>
  <si>
    <t xml:space="preserve">Qoldiq</t>
  </si>
  <si>
    <t xml:space="preserve">Mijoz
(mijoz to'lovi bo'lsa)</t>
  </si>
  <si>
    <t xml:space="preserve">NAMUNA - Namuna MChJ dan to'lov</t>
  </si>
  <si>
    <t xml:space="preserve">Namuna MChJ</t>
  </si>
  <si>
    <t xml:space="preserve">NAMUNA - ofis ijarasi</t>
  </si>
  <si>
    <t xml:space="preserve">Sotuvlar - mijozlarga nasiyaga sotilgan tovar/xizmat</t>
  </si>
  <si>
    <t xml:space="preserve">Sariq ustunlarga yozing. Mijoz nomini ro'yxatdan tanlang.</t>
  </si>
  <si>
    <t xml:space="preserve">Mijoz</t>
  </si>
  <si>
    <t xml:space="preserve">Summa</t>
  </si>
  <si>
    <t xml:space="preserve">NAMUNA - yetkazilgan tovar</t>
  </si>
  <si>
    <t xml:space="preserve">Qarzdorlar - har bir mijozning qarzi</t>
  </si>
  <si>
    <t xml:space="preserve">Mijoz nomlarini A ustuniga yozing. Qolganlari avtomatik: qarz = jami sotuv - jami to'lov.</t>
  </si>
  <si>
    <t xml:space="preserve">Jami sotuv</t>
  </si>
  <si>
    <t xml:space="preserve">Jami to'lov</t>
  </si>
  <si>
    <t xml:space="preserve">Qarz qoldig'i</t>
  </si>
  <si>
    <t xml:space="preserve">Mijozlar ro'yxati (pastga qo'shing)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</si>
</sst>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dd\.mm\.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7" customFormat="false" ht="15" hidden="false" customHeight="false" outlineLevel="0" collapsed="false">
      <c r="A7" s="6" t="s">
        <v>6</v>
      </c>
    </row>
    <row r="8" customFormat="false" ht="15" hidden="false" customHeight="false" outlineLevel="0" collapsed="false">
      <c r="A8" s="7" t="s">
        <v>7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7" t="s">
        <v>9</v>
      </c>
    </row>
    <row r="11" customFormat="false" ht="15" hidden="false" customHeight="false" outlineLevel="0" collapsed="false">
      <c r="A11" s="7" t="s">
        <v>10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7" t="s">
        <v>12</v>
      </c>
    </row>
    <row r="15" customFormat="false" ht="1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5" t="s">
        <v>14</v>
      </c>
    </row>
    <row r="17" customFormat="false" ht="15" hidden="false" customHeight="false" outlineLevel="0" collapsed="false">
      <c r="A17" s="5" t="s">
        <v>15</v>
      </c>
    </row>
    <row r="18" customFormat="false" ht="15" hidden="false" customHeight="false" outlineLevel="0" collapsed="false">
      <c r="A18" s="5" t="s">
        <v>16</v>
      </c>
    </row>
    <row r="19" customFormat="false" ht="15" hidden="false" customHeight="false" outlineLevel="0" collapsed="false">
      <c r="A19" s="5" t="s">
        <v>17</v>
      </c>
    </row>
    <row r="20" customFormat="false" ht="15" hidden="false" customHeight="false" outlineLevel="0" collapsed="false">
      <c r="A20" s="5" t="s">
        <v>18</v>
      </c>
    </row>
    <row r="21" customFormat="false" ht="15" hidden="false" customHeight="false" outlineLevel="0" collapsed="false">
      <c r="A21" s="5" t="s">
        <v>19</v>
      </c>
    </row>
    <row r="22" customFormat="false" ht="15" hidden="false" customHeight="false" outlineLevel="0" collapsed="false">
      <c r="A22" s="5" t="s">
        <v>20</v>
      </c>
    </row>
    <row r="23" customFormat="false" ht="15" hidden="false" customHeight="false" outlineLevel="0" collapsed="false">
      <c r="A23" s="5" t="s">
        <v>21</v>
      </c>
    </row>
    <row r="24" customFormat="false" ht="15" hidden="false" customHeight="false" outlineLevel="0" collapsed="false">
      <c r="A24" s="5" t="s">
        <v>22</v>
      </c>
    </row>
    <row r="25" customFormat="false" ht="15" hidden="false" customHeight="false" outlineLevel="0" collapsed="false">
      <c r="A25" s="5" t="s">
        <v>23</v>
      </c>
    </row>
    <row r="26" customFormat="false" ht="15" hidden="false" customHeight="false" outlineLevel="0" collapsed="false">
      <c r="A26" s="5" t="s">
        <v>24</v>
      </c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/>
    </row>
    <row r="31" customFormat="false" ht="15" hidden="false" customHeight="false" outlineLevel="0" collapsed="false">
      <c r="A31" s="5"/>
    </row>
    <row r="32" customFormat="false" ht="15" hidden="false" customHeight="false" outlineLevel="0" collapsed="false">
      <c r="A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8" t="s">
        <v>2</v>
      </c>
      <c r="B4" s="9" t="n">
        <f aca="false">Boshlash!B4</f>
        <v>0</v>
      </c>
    </row>
    <row r="5" customFormat="false" ht="15" hidden="false" customHeight="false" outlineLevel="0" collapsed="false">
      <c r="A5" s="8" t="s">
        <v>27</v>
      </c>
      <c r="B5" s="9" t="n">
        <f aca="false">SUM('Kassa kitobi'!D5:D504)</f>
        <v>500</v>
      </c>
    </row>
    <row r="6" customFormat="false" ht="15" hidden="false" customHeight="false" outlineLevel="0" collapsed="false">
      <c r="A6" s="8" t="s">
        <v>28</v>
      </c>
      <c r="B6" s="9" t="n">
        <f aca="false">SUM('Kassa kitobi'!E5:E504)</f>
        <v>-300</v>
      </c>
    </row>
    <row r="7" customFormat="false" ht="15" hidden="false" customHeight="false" outlineLevel="0" collapsed="false">
      <c r="A7" s="10" t="s">
        <v>29</v>
      </c>
      <c r="B7" s="11" t="n">
        <f aca="false">B4+B5+B6</f>
        <v>200</v>
      </c>
    </row>
    <row r="8" customFormat="false" ht="15" hidden="false" customHeight="false" outlineLevel="0" collapsed="false">
      <c r="A8" s="10" t="s">
        <v>30</v>
      </c>
      <c r="B8" s="11" t="n">
        <f aca="false">Qarzdorlar!D5</f>
        <v>700</v>
      </c>
    </row>
    <row r="10" customFormat="false" ht="15" hidden="false" customHeight="false" outlineLevel="0" collapsed="false">
      <c r="A10" s="3" t="s">
        <v>31</v>
      </c>
      <c r="B10" s="12" t="n">
        <v>2026</v>
      </c>
    </row>
    <row r="12" customFormat="false" ht="15" hidden="false" customHeight="false" outlineLevel="0" collapsed="false">
      <c r="A12" s="13" t="s">
        <v>32</v>
      </c>
      <c r="B12" s="13" t="s">
        <v>33</v>
      </c>
      <c r="C12" s="13" t="s">
        <v>34</v>
      </c>
      <c r="D12" s="13" t="s">
        <v>35</v>
      </c>
    </row>
    <row r="13" customFormat="false" ht="15" hidden="false" customHeight="false" outlineLevel="0" collapsed="false">
      <c r="A13" s="14" t="s">
        <v>36</v>
      </c>
      <c r="B13" s="15" t="n">
        <f aca="false">SUMIFS('Kassa kitobi'!$D$5:$D$504,'Kassa kitobi'!$A$5:$A$504,"&gt;="&amp;DATE($B$10,1,1),'Kassa kitobi'!$A$5:$A$504,"&lt;"&amp;DATE($B$10,2,1))</f>
        <v>0</v>
      </c>
      <c r="C13" s="15" t="n">
        <f aca="false">SUMIFS('Kassa kitobi'!$E$5:$E$504,'Kassa kitobi'!$A$5:$A$504,"&gt;="&amp;DATE($B$10,1,1),'Kassa kitobi'!$A$5:$A$504,"&lt;"&amp;DATE($B$10,2,1))</f>
        <v>0</v>
      </c>
      <c r="D13" s="15" t="n">
        <f aca="false">B13+C13</f>
        <v>0</v>
      </c>
    </row>
    <row r="14" customFormat="false" ht="15" hidden="false" customHeight="false" outlineLevel="0" collapsed="false">
      <c r="A14" s="14" t="s">
        <v>37</v>
      </c>
      <c r="B14" s="15" t="n">
        <f aca="false">SUMIFS('Kassa kitobi'!$D$5:$D$504,'Kassa kitobi'!$A$5:$A$504,"&gt;="&amp;DATE($B$10,2,1),'Kassa kitobi'!$A$5:$A$504,"&lt;"&amp;DATE($B$10,3,1))</f>
        <v>0</v>
      </c>
      <c r="C14" s="15" t="n">
        <f aca="false">SUMIFS('Kassa kitobi'!$E$5:$E$504,'Kassa kitobi'!$A$5:$A$504,"&gt;="&amp;DATE($B$10,2,1),'Kassa kitobi'!$A$5:$A$504,"&lt;"&amp;DATE($B$10,3,1))</f>
        <v>0</v>
      </c>
      <c r="D14" s="15" t="n">
        <f aca="false">B14+C14</f>
        <v>0</v>
      </c>
    </row>
    <row r="15" customFormat="false" ht="15" hidden="false" customHeight="false" outlineLevel="0" collapsed="false">
      <c r="A15" s="14" t="s">
        <v>38</v>
      </c>
      <c r="B15" s="15" t="n">
        <f aca="false">SUMIFS('Kassa kitobi'!$D$5:$D$504,'Kassa kitobi'!$A$5:$A$504,"&gt;="&amp;DATE($B$10,3,1),'Kassa kitobi'!$A$5:$A$504,"&lt;"&amp;DATE($B$10,4,1))</f>
        <v>0</v>
      </c>
      <c r="C15" s="15" t="n">
        <f aca="false">SUMIFS('Kassa kitobi'!$E$5:$E$504,'Kassa kitobi'!$A$5:$A$504,"&gt;="&amp;DATE($B$10,3,1),'Kassa kitobi'!$A$5:$A$504,"&lt;"&amp;DATE($B$10,4,1))</f>
        <v>0</v>
      </c>
      <c r="D15" s="15" t="n">
        <f aca="false">B15+C15</f>
        <v>0</v>
      </c>
    </row>
    <row r="16" customFormat="false" ht="15" hidden="false" customHeight="false" outlineLevel="0" collapsed="false">
      <c r="A16" s="14" t="s">
        <v>39</v>
      </c>
      <c r="B16" s="15" t="n">
        <f aca="false">SUMIFS('Kassa kitobi'!$D$5:$D$504,'Kassa kitobi'!$A$5:$A$504,"&gt;="&amp;DATE($B$10,4,1),'Kassa kitobi'!$A$5:$A$504,"&lt;"&amp;DATE($B$10,5,1))</f>
        <v>0</v>
      </c>
      <c r="C16" s="15" t="n">
        <f aca="false">SUMIFS('Kassa kitobi'!$E$5:$E$504,'Kassa kitobi'!$A$5:$A$504,"&gt;="&amp;DATE($B$10,4,1),'Kassa kitobi'!$A$5:$A$504,"&lt;"&amp;DATE($B$10,5,1))</f>
        <v>0</v>
      </c>
      <c r="D16" s="15" t="n">
        <f aca="false">B16+C16</f>
        <v>0</v>
      </c>
    </row>
    <row r="17" customFormat="false" ht="15" hidden="false" customHeight="false" outlineLevel="0" collapsed="false">
      <c r="A17" s="14" t="s">
        <v>40</v>
      </c>
      <c r="B17" s="15" t="n">
        <f aca="false">SUMIFS('Kassa kitobi'!$D$5:$D$504,'Kassa kitobi'!$A$5:$A$504,"&gt;="&amp;DATE($B$10,5,1),'Kassa kitobi'!$A$5:$A$504,"&lt;"&amp;DATE($B$10,6,1))</f>
        <v>0</v>
      </c>
      <c r="C17" s="15" t="n">
        <f aca="false">SUMIFS('Kassa kitobi'!$E$5:$E$504,'Kassa kitobi'!$A$5:$A$504,"&gt;="&amp;DATE($B$10,5,1),'Kassa kitobi'!$A$5:$A$504,"&lt;"&amp;DATE($B$10,6,1))</f>
        <v>0</v>
      </c>
      <c r="D17" s="15" t="n">
        <f aca="false">B17+C17</f>
        <v>0</v>
      </c>
    </row>
    <row r="18" customFormat="false" ht="15" hidden="false" customHeight="false" outlineLevel="0" collapsed="false">
      <c r="A18" s="14" t="s">
        <v>41</v>
      </c>
      <c r="B18" s="15" t="n">
        <f aca="false">SUMIFS('Kassa kitobi'!$D$5:$D$504,'Kassa kitobi'!$A$5:$A$504,"&gt;="&amp;DATE($B$10,6,1),'Kassa kitobi'!$A$5:$A$504,"&lt;"&amp;DATE($B$10,7,1))</f>
        <v>0</v>
      </c>
      <c r="C18" s="15" t="n">
        <f aca="false">SUMIFS('Kassa kitobi'!$E$5:$E$504,'Kassa kitobi'!$A$5:$A$504,"&gt;="&amp;DATE($B$10,6,1),'Kassa kitobi'!$A$5:$A$504,"&lt;"&amp;DATE($B$10,7,1))</f>
        <v>0</v>
      </c>
      <c r="D18" s="15" t="n">
        <f aca="false">B18+C18</f>
        <v>0</v>
      </c>
    </row>
    <row r="19" customFormat="false" ht="15" hidden="false" customHeight="false" outlineLevel="0" collapsed="false">
      <c r="A19" s="14" t="s">
        <v>42</v>
      </c>
      <c r="B19" s="15" t="n">
        <f aca="false">SUMIFS('Kassa kitobi'!$D$5:$D$504,'Kassa kitobi'!$A$5:$A$504,"&gt;="&amp;DATE($B$10,7,1),'Kassa kitobi'!$A$5:$A$504,"&lt;"&amp;DATE($B$10,8,1))</f>
        <v>0</v>
      </c>
      <c r="C19" s="15" t="n">
        <f aca="false">SUMIFS('Kassa kitobi'!$E$5:$E$504,'Kassa kitobi'!$A$5:$A$504,"&gt;="&amp;DATE($B$10,7,1),'Kassa kitobi'!$A$5:$A$504,"&lt;"&amp;DATE($B$10,8,1))</f>
        <v>0</v>
      </c>
      <c r="D19" s="15" t="n">
        <f aca="false">B19+C19</f>
        <v>0</v>
      </c>
    </row>
    <row r="20" customFormat="false" ht="15" hidden="false" customHeight="false" outlineLevel="0" collapsed="false">
      <c r="A20" s="14" t="s">
        <v>43</v>
      </c>
      <c r="B20" s="15" t="n">
        <f aca="false">SUMIFS('Kassa kitobi'!$D$5:$D$504,'Kassa kitobi'!$A$5:$A$504,"&gt;="&amp;DATE($B$10,8,1),'Kassa kitobi'!$A$5:$A$504,"&lt;"&amp;DATE($B$10,9,1))</f>
        <v>0</v>
      </c>
      <c r="C20" s="15" t="n">
        <f aca="false">SUMIFS('Kassa kitobi'!$E$5:$E$504,'Kassa kitobi'!$A$5:$A$504,"&gt;="&amp;DATE($B$10,8,1),'Kassa kitobi'!$A$5:$A$504,"&lt;"&amp;DATE($B$10,9,1))</f>
        <v>0</v>
      </c>
      <c r="D20" s="15" t="n">
        <f aca="false">B20+C20</f>
        <v>0</v>
      </c>
    </row>
    <row r="21" customFormat="false" ht="15" hidden="false" customHeight="false" outlineLevel="0" collapsed="false">
      <c r="A21" s="14" t="s">
        <v>44</v>
      </c>
      <c r="B21" s="15" t="n">
        <f aca="false">SUMIFS('Kassa kitobi'!$D$5:$D$504,'Kassa kitobi'!$A$5:$A$504,"&gt;="&amp;DATE($B$10,9,1),'Kassa kitobi'!$A$5:$A$504,"&lt;"&amp;DATE($B$10,10,1))</f>
        <v>0</v>
      </c>
      <c r="C21" s="15" t="n">
        <f aca="false">SUMIFS('Kassa kitobi'!$E$5:$E$504,'Kassa kitobi'!$A$5:$A$504,"&gt;="&amp;DATE($B$10,9,1),'Kassa kitobi'!$A$5:$A$504,"&lt;"&amp;DATE($B$10,10,1))</f>
        <v>0</v>
      </c>
      <c r="D21" s="15" t="n">
        <f aca="false">B21+C21</f>
        <v>0</v>
      </c>
    </row>
    <row r="22" customFormat="false" ht="15" hidden="false" customHeight="false" outlineLevel="0" collapsed="false">
      <c r="A22" s="14" t="s">
        <v>45</v>
      </c>
      <c r="B22" s="15" t="n">
        <f aca="false">SUMIFS('Kassa kitobi'!$D$5:$D$504,'Kassa kitobi'!$A$5:$A$504,"&gt;="&amp;DATE($B$10,10,1),'Kassa kitobi'!$A$5:$A$504,"&lt;"&amp;DATE($B$10,11,1))</f>
        <v>500</v>
      </c>
      <c r="C22" s="15" t="n">
        <f aca="false">SUMIFS('Kassa kitobi'!$E$5:$E$504,'Kassa kitobi'!$A$5:$A$504,"&gt;="&amp;DATE($B$10,10,1),'Kassa kitobi'!$A$5:$A$504,"&lt;"&amp;DATE($B$10,11,1))</f>
        <v>-300</v>
      </c>
      <c r="D22" s="15" t="n">
        <f aca="false">B22+C22</f>
        <v>200</v>
      </c>
    </row>
    <row r="23" customFormat="false" ht="15" hidden="false" customHeight="false" outlineLevel="0" collapsed="false">
      <c r="A23" s="14" t="s">
        <v>46</v>
      </c>
      <c r="B23" s="15" t="n">
        <f aca="false">SUMIFS('Kassa kitobi'!$D$5:$D$504,'Kassa kitobi'!$A$5:$A$504,"&gt;="&amp;DATE($B$10,11,1),'Kassa kitobi'!$A$5:$A$504,"&lt;"&amp;DATE($B$10,12,1))</f>
        <v>0</v>
      </c>
      <c r="C23" s="15" t="n">
        <f aca="false">SUMIFS('Kassa kitobi'!$E$5:$E$504,'Kassa kitobi'!$A$5:$A$504,"&gt;="&amp;DATE($B$10,11,1),'Kassa kitobi'!$A$5:$A$504,"&lt;"&amp;DATE($B$10,12,1))</f>
        <v>0</v>
      </c>
      <c r="D23" s="15" t="n">
        <f aca="false">B23+C23</f>
        <v>0</v>
      </c>
    </row>
    <row r="24" customFormat="false" ht="15" hidden="false" customHeight="false" outlineLevel="0" collapsed="false">
      <c r="A24" s="14" t="s">
        <v>47</v>
      </c>
      <c r="B24" s="15" t="n">
        <f aca="false">SUMIFS('Kassa kitobi'!$D$5:$D$504,'Kassa kitobi'!$A$5:$A$504,"&gt;="&amp;DATE($B$10,12,1),'Kassa kitobi'!$A$5:$A$504,"&lt;"&amp;DATE($B$10,13,1))</f>
        <v>0</v>
      </c>
      <c r="C24" s="15" t="n">
        <f aca="false">SUMIFS('Kassa kitobi'!$E$5:$E$504,'Kassa kitobi'!$A$5:$A$504,"&gt;="&amp;DATE($B$10,12,1),'Kassa kitobi'!$A$5:$A$504,"&lt;"&amp;DATE($B$10,13,1))</f>
        <v>0</v>
      </c>
      <c r="D24" s="15" t="n">
        <f aca="false">B24+C24</f>
        <v>0</v>
      </c>
    </row>
    <row r="25" customFormat="false" ht="15" hidden="false" customHeight="false" outlineLevel="0" collapsed="false">
      <c r="A25" s="10" t="s">
        <v>48</v>
      </c>
      <c r="B25" s="16" t="n">
        <f aca="false">SUM(B13:B24)</f>
        <v>500</v>
      </c>
      <c r="C25" s="16" t="n">
        <f aca="false">SUM(C13:C24)</f>
        <v>-300</v>
      </c>
      <c r="D25" s="16" t="n">
        <f aca="false">SUM(D13:D24)</f>
        <v>200</v>
      </c>
    </row>
  </sheetData>
  <conditionalFormatting sqref="D13:D2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17" t="s">
        <v>51</v>
      </c>
      <c r="B4" s="17" t="s">
        <v>52</v>
      </c>
      <c r="C4" s="17" t="s">
        <v>53</v>
      </c>
      <c r="D4" s="17" t="s">
        <v>33</v>
      </c>
      <c r="E4" s="17" t="s">
        <v>54</v>
      </c>
      <c r="F4" s="17" t="s">
        <v>55</v>
      </c>
      <c r="G4" s="17" t="s">
        <v>56</v>
      </c>
    </row>
    <row r="5" customFormat="false" ht="15" hidden="false" customHeight="false" outlineLevel="0" collapsed="false">
      <c r="A5" s="18" t="n">
        <v>46296</v>
      </c>
      <c r="B5" s="5" t="s">
        <v>57</v>
      </c>
      <c r="C5" s="5" t="s">
        <v>14</v>
      </c>
      <c r="D5" s="4" t="n">
        <v>500</v>
      </c>
      <c r="E5" s="4"/>
      <c r="F5" s="19" t="n">
        <f aca="false">IF(AND(D5="",E5=""),"",Boshlash!$B$4+SUM($D$5:D5)+SUM($E$5:E5))</f>
        <v>500</v>
      </c>
      <c r="G5" s="5" t="s">
        <v>58</v>
      </c>
    </row>
    <row r="6" customFormat="false" ht="15" hidden="false" customHeight="false" outlineLevel="0" collapsed="false">
      <c r="A6" s="18" t="n">
        <v>46297</v>
      </c>
      <c r="B6" s="5" t="s">
        <v>59</v>
      </c>
      <c r="C6" s="5" t="s">
        <v>16</v>
      </c>
      <c r="D6" s="4"/>
      <c r="E6" s="4" t="n">
        <v>-300</v>
      </c>
      <c r="F6" s="19" t="n">
        <f aca="false">IF(AND(D6="",E6=""),"",Boshlash!$B$4+SUM($D$5:D6)+SUM($E$5:E6))</f>
        <v>200</v>
      </c>
      <c r="G6" s="5"/>
    </row>
    <row r="7" customFormat="false" ht="15" hidden="false" customHeight="false" outlineLevel="0" collapsed="false">
      <c r="A7" s="18"/>
      <c r="B7" s="5"/>
      <c r="C7" s="5"/>
      <c r="D7" s="4"/>
      <c r="E7" s="4"/>
      <c r="F7" s="19" t="str">
        <f aca="false">IF(AND(D7="",E7=""),"",Boshlash!$B$4+SUM($D$5:D7)+SUM($E$5:E7))</f>
        <v/>
      </c>
      <c r="G7" s="5"/>
    </row>
    <row r="8" customFormat="false" ht="15" hidden="false" customHeight="false" outlineLevel="0" collapsed="false">
      <c r="A8" s="18"/>
      <c r="B8" s="5"/>
      <c r="C8" s="5"/>
      <c r="D8" s="4"/>
      <c r="E8" s="4"/>
      <c r="F8" s="19" t="str">
        <f aca="false">IF(AND(D8="",E8=""),"",Boshlash!$B$4+SUM($D$5:D8)+SUM($E$5:E8))</f>
        <v/>
      </c>
      <c r="G8" s="5"/>
    </row>
    <row r="9" customFormat="false" ht="15" hidden="false" customHeight="false" outlineLevel="0" collapsed="false">
      <c r="A9" s="18"/>
      <c r="B9" s="5"/>
      <c r="C9" s="5"/>
      <c r="D9" s="4"/>
      <c r="E9" s="4"/>
      <c r="F9" s="19" t="str">
        <f aca="false">IF(AND(D9="",E9=""),"",Boshlash!$B$4+SUM($D$5:D9)+SUM($E$5:E9))</f>
        <v/>
      </c>
      <c r="G9" s="5"/>
    </row>
    <row r="10" customFormat="false" ht="15" hidden="false" customHeight="false" outlineLevel="0" collapsed="false">
      <c r="A10" s="18"/>
      <c r="B10" s="5"/>
      <c r="C10" s="5"/>
      <c r="D10" s="4"/>
      <c r="E10" s="4"/>
      <c r="F10" s="19" t="str">
        <f aca="false">IF(AND(D10="",E10=""),"",Boshlash!$B$4+SUM($D$5:D10)+SUM($E$5:E10))</f>
        <v/>
      </c>
      <c r="G10" s="5"/>
    </row>
    <row r="11" customFormat="false" ht="15" hidden="false" customHeight="false" outlineLevel="0" collapsed="false">
      <c r="A11" s="18"/>
      <c r="B11" s="5"/>
      <c r="C11" s="5"/>
      <c r="D11" s="4"/>
      <c r="E11" s="4"/>
      <c r="F11" s="19" t="str">
        <f aca="false">IF(AND(D11="",E11=""),"",Boshlash!$B$4+SUM($D$5:D11)+SUM($E$5:E11))</f>
        <v/>
      </c>
      <c r="G11" s="5"/>
    </row>
    <row r="12" customFormat="false" ht="15" hidden="false" customHeight="false" outlineLevel="0" collapsed="false">
      <c r="A12" s="18"/>
      <c r="B12" s="5"/>
      <c r="C12" s="5"/>
      <c r="D12" s="4"/>
      <c r="E12" s="4"/>
      <c r="F12" s="19" t="str">
        <f aca="false">IF(AND(D12="",E12=""),"",Boshlash!$B$4+SUM($D$5:D12)+SUM($E$5:E12))</f>
        <v/>
      </c>
      <c r="G12" s="5"/>
    </row>
    <row r="13" customFormat="false" ht="15" hidden="false" customHeight="false" outlineLevel="0" collapsed="false">
      <c r="A13" s="18"/>
      <c r="B13" s="5"/>
      <c r="C13" s="5"/>
      <c r="D13" s="4"/>
      <c r="E13" s="4"/>
      <c r="F13" s="19" t="str">
        <f aca="false">IF(AND(D13="",E13=""),"",Boshlash!$B$4+SUM($D$5:D13)+SUM($E$5:E13))</f>
        <v/>
      </c>
      <c r="G13" s="5"/>
    </row>
    <row r="14" customFormat="false" ht="15" hidden="false" customHeight="false" outlineLevel="0" collapsed="false">
      <c r="A14" s="18"/>
      <c r="B14" s="5"/>
      <c r="C14" s="5"/>
      <c r="D14" s="4"/>
      <c r="E14" s="4"/>
      <c r="F14" s="19" t="str">
        <f aca="false">IF(AND(D14="",E14=""),"",Boshlash!$B$4+SUM($D$5:D14)+SUM($E$5:E14))</f>
        <v/>
      </c>
      <c r="G14" s="5"/>
    </row>
    <row r="15" customFormat="false" ht="15" hidden="false" customHeight="false" outlineLevel="0" collapsed="false">
      <c r="A15" s="18"/>
      <c r="B15" s="5"/>
      <c r="C15" s="5"/>
      <c r="D15" s="4"/>
      <c r="E15" s="4"/>
      <c r="F15" s="19" t="str">
        <f aca="false">IF(AND(D15="",E15=""),"",Boshlash!$B$4+SUM($D$5:D15)+SUM($E$5:E15))</f>
        <v/>
      </c>
      <c r="G15" s="5"/>
    </row>
    <row r="16" customFormat="false" ht="15" hidden="false" customHeight="false" outlineLevel="0" collapsed="false">
      <c r="A16" s="18"/>
      <c r="B16" s="5"/>
      <c r="C16" s="5"/>
      <c r="D16" s="4"/>
      <c r="E16" s="4"/>
      <c r="F16" s="19" t="str">
        <f aca="false">IF(AND(D16="",E16=""),"",Boshlash!$B$4+SUM($D$5:D16)+SUM($E$5:E16))</f>
        <v/>
      </c>
      <c r="G16" s="5"/>
    </row>
    <row r="17" customFormat="false" ht="15" hidden="false" customHeight="false" outlineLevel="0" collapsed="false">
      <c r="A17" s="18"/>
      <c r="B17" s="5"/>
      <c r="C17" s="5"/>
      <c r="D17" s="4"/>
      <c r="E17" s="4"/>
      <c r="F17" s="19" t="str">
        <f aca="false">IF(AND(D17="",E17=""),"",Boshlash!$B$4+SUM($D$5:D17)+SUM($E$5:E17))</f>
        <v/>
      </c>
      <c r="G17" s="5"/>
    </row>
    <row r="18" customFormat="false" ht="15" hidden="false" customHeight="false" outlineLevel="0" collapsed="false">
      <c r="A18" s="18"/>
      <c r="B18" s="5"/>
      <c r="C18" s="5"/>
      <c r="D18" s="4"/>
      <c r="E18" s="4"/>
      <c r="F18" s="19" t="str">
        <f aca="false">IF(AND(D18="",E18=""),"",Boshlash!$B$4+SUM($D$5:D18)+SUM($E$5:E18))</f>
        <v/>
      </c>
      <c r="G18" s="5"/>
    </row>
    <row r="19" customFormat="false" ht="15" hidden="false" customHeight="false" outlineLevel="0" collapsed="false">
      <c r="A19" s="18"/>
      <c r="B19" s="5"/>
      <c r="C19" s="5"/>
      <c r="D19" s="4"/>
      <c r="E19" s="4"/>
      <c r="F19" s="19" t="str">
        <f aca="false">IF(AND(D19="",E19=""),"",Boshlash!$B$4+SUM($D$5:D19)+SUM($E$5:E19))</f>
        <v/>
      </c>
      <c r="G19" s="5"/>
    </row>
    <row r="20" customFormat="false" ht="15" hidden="false" customHeight="false" outlineLevel="0" collapsed="false">
      <c r="A20" s="18"/>
      <c r="B20" s="5"/>
      <c r="C20" s="5"/>
      <c r="D20" s="4"/>
      <c r="E20" s="4"/>
      <c r="F20" s="19" t="str">
        <f aca="false">IF(AND(D20="",E20=""),"",Boshlash!$B$4+SUM($D$5:D20)+SUM($E$5:E20))</f>
        <v/>
      </c>
      <c r="G20" s="5"/>
    </row>
    <row r="21" customFormat="false" ht="15" hidden="false" customHeight="false" outlineLevel="0" collapsed="false">
      <c r="A21" s="18"/>
      <c r="B21" s="5"/>
      <c r="C21" s="5"/>
      <c r="D21" s="4"/>
      <c r="E21" s="4"/>
      <c r="F21" s="19" t="str">
        <f aca="false">IF(AND(D21="",E21=""),"",Boshlash!$B$4+SUM($D$5:D21)+SUM($E$5:E21))</f>
        <v/>
      </c>
      <c r="G21" s="5"/>
    </row>
    <row r="22" customFormat="false" ht="15" hidden="false" customHeight="false" outlineLevel="0" collapsed="false">
      <c r="A22" s="18"/>
      <c r="B22" s="5"/>
      <c r="C22" s="5"/>
      <c r="D22" s="4"/>
      <c r="E22" s="4"/>
      <c r="F22" s="19" t="str">
        <f aca="false">IF(AND(D22="",E22=""),"",Boshlash!$B$4+SUM($D$5:D22)+SUM($E$5:E22))</f>
        <v/>
      </c>
      <c r="G22" s="5"/>
    </row>
    <row r="23" customFormat="false" ht="15" hidden="false" customHeight="false" outlineLevel="0" collapsed="false">
      <c r="A23" s="18"/>
      <c r="B23" s="5"/>
      <c r="C23" s="5"/>
      <c r="D23" s="4"/>
      <c r="E23" s="4"/>
      <c r="F23" s="19" t="str">
        <f aca="false">IF(AND(D23="",E23=""),"",Boshlash!$B$4+SUM($D$5:D23)+SUM($E$5:E23))</f>
        <v/>
      </c>
      <c r="G23" s="5"/>
    </row>
    <row r="24" customFormat="false" ht="15" hidden="false" customHeight="false" outlineLevel="0" collapsed="false">
      <c r="A24" s="18"/>
      <c r="B24" s="5"/>
      <c r="C24" s="5"/>
      <c r="D24" s="4"/>
      <c r="E24" s="4"/>
      <c r="F24" s="19" t="str">
        <f aca="false">IF(AND(D24="",E24=""),"",Boshlash!$B$4+SUM($D$5:D24)+SUM($E$5:E24))</f>
        <v/>
      </c>
      <c r="G24" s="5"/>
    </row>
    <row r="25" customFormat="false" ht="15" hidden="false" customHeight="false" outlineLevel="0" collapsed="false">
      <c r="A25" s="18"/>
      <c r="B25" s="5"/>
      <c r="C25" s="5"/>
      <c r="D25" s="4"/>
      <c r="E25" s="4"/>
      <c r="F25" s="19" t="str">
        <f aca="false">IF(AND(D25="",E25=""),"",Boshlash!$B$4+SUM($D$5:D25)+SUM($E$5:E25))</f>
        <v/>
      </c>
      <c r="G25" s="5"/>
    </row>
    <row r="26" customFormat="false" ht="15" hidden="false" customHeight="false" outlineLevel="0" collapsed="false">
      <c r="A26" s="18"/>
      <c r="B26" s="5"/>
      <c r="C26" s="5"/>
      <c r="D26" s="4"/>
      <c r="E26" s="4"/>
      <c r="F26" s="19" t="str">
        <f aca="false">IF(AND(D26="",E26=""),"",Boshlash!$B$4+SUM($D$5:D26)+SUM($E$5:E26))</f>
        <v/>
      </c>
      <c r="G26" s="5"/>
    </row>
    <row r="27" customFormat="false" ht="15" hidden="false" customHeight="false" outlineLevel="0" collapsed="false">
      <c r="A27" s="18"/>
      <c r="B27" s="5"/>
      <c r="C27" s="5"/>
      <c r="D27" s="4"/>
      <c r="E27" s="4"/>
      <c r="F27" s="19" t="str">
        <f aca="false">IF(AND(D27="",E27=""),"",Boshlash!$B$4+SUM($D$5:D27)+SUM($E$5:E27))</f>
        <v/>
      </c>
      <c r="G27" s="5"/>
    </row>
    <row r="28" customFormat="false" ht="15" hidden="false" customHeight="false" outlineLevel="0" collapsed="false">
      <c r="A28" s="18"/>
      <c r="B28" s="5"/>
      <c r="C28" s="5"/>
      <c r="D28" s="4"/>
      <c r="E28" s="4"/>
      <c r="F28" s="19" t="str">
        <f aca="false">IF(AND(D28="",E28=""),"",Boshlash!$B$4+SUM($D$5:D28)+SUM($E$5:E28))</f>
        <v/>
      </c>
      <c r="G28" s="5"/>
    </row>
    <row r="29" customFormat="false" ht="15" hidden="false" customHeight="false" outlineLevel="0" collapsed="false">
      <c r="A29" s="18"/>
      <c r="B29" s="5"/>
      <c r="C29" s="5"/>
      <c r="D29" s="4"/>
      <c r="E29" s="4"/>
      <c r="F29" s="19" t="str">
        <f aca="false">IF(AND(D29="",E29=""),"",Boshlash!$B$4+SUM($D$5:D29)+SUM($E$5:E29))</f>
        <v/>
      </c>
      <c r="G29" s="5"/>
    </row>
    <row r="30" customFormat="false" ht="15" hidden="false" customHeight="false" outlineLevel="0" collapsed="false">
      <c r="A30" s="18"/>
      <c r="B30" s="5"/>
      <c r="C30" s="5"/>
      <c r="D30" s="4"/>
      <c r="E30" s="4"/>
      <c r="F30" s="19" t="str">
        <f aca="false">IF(AND(D30="",E30=""),"",Boshlash!$B$4+SUM($D$5:D30)+SUM($E$5:E30))</f>
        <v/>
      </c>
      <c r="G30" s="5"/>
    </row>
    <row r="31" customFormat="false" ht="15" hidden="false" customHeight="false" outlineLevel="0" collapsed="false">
      <c r="A31" s="18"/>
      <c r="B31" s="5"/>
      <c r="C31" s="5"/>
      <c r="D31" s="4"/>
      <c r="E31" s="4"/>
      <c r="F31" s="19" t="str">
        <f aca="false">IF(AND(D31="",E31=""),"",Boshlash!$B$4+SUM($D$5:D31)+SUM($E$5:E31))</f>
        <v/>
      </c>
      <c r="G31" s="5"/>
    </row>
    <row r="32" customFormat="false" ht="15" hidden="false" customHeight="false" outlineLevel="0" collapsed="false">
      <c r="A32" s="18"/>
      <c r="B32" s="5"/>
      <c r="C32" s="5"/>
      <c r="D32" s="4"/>
      <c r="E32" s="4"/>
      <c r="F32" s="19" t="str">
        <f aca="false">IF(AND(D32="",E32=""),"",Boshlash!$B$4+SUM($D$5:D32)+SUM($E$5:E32))</f>
        <v/>
      </c>
      <c r="G32" s="5"/>
    </row>
    <row r="33" customFormat="false" ht="15" hidden="false" customHeight="false" outlineLevel="0" collapsed="false">
      <c r="A33" s="18"/>
      <c r="B33" s="5"/>
      <c r="C33" s="5"/>
      <c r="D33" s="4"/>
      <c r="E33" s="4"/>
      <c r="F33" s="19" t="str">
        <f aca="false">IF(AND(D33="",E33=""),"",Boshlash!$B$4+SUM($D$5:D33)+SUM($E$5:E33))</f>
        <v/>
      </c>
      <c r="G33" s="5"/>
    </row>
    <row r="34" customFormat="false" ht="15" hidden="false" customHeight="false" outlineLevel="0" collapsed="false">
      <c r="A34" s="18"/>
      <c r="B34" s="5"/>
      <c r="C34" s="5"/>
      <c r="D34" s="4"/>
      <c r="E34" s="4"/>
      <c r="F34" s="19" t="str">
        <f aca="false">IF(AND(D34="",E34=""),"",Boshlash!$B$4+SUM($D$5:D34)+SUM($E$5:E34))</f>
        <v/>
      </c>
      <c r="G34" s="5"/>
    </row>
    <row r="35" customFormat="false" ht="15" hidden="false" customHeight="false" outlineLevel="0" collapsed="false">
      <c r="A35" s="18"/>
      <c r="B35" s="5"/>
      <c r="C35" s="5"/>
      <c r="D35" s="4"/>
      <c r="E35" s="4"/>
      <c r="F35" s="19" t="str">
        <f aca="false">IF(AND(D35="",E35=""),"",Boshlash!$B$4+SUM($D$5:D35)+SUM($E$5:E35))</f>
        <v/>
      </c>
      <c r="G35" s="5"/>
    </row>
    <row r="36" customFormat="false" ht="15" hidden="false" customHeight="false" outlineLevel="0" collapsed="false">
      <c r="A36" s="18"/>
      <c r="B36" s="5"/>
      <c r="C36" s="5"/>
      <c r="D36" s="4"/>
      <c r="E36" s="4"/>
      <c r="F36" s="19" t="str">
        <f aca="false">IF(AND(D36="",E36=""),"",Boshlash!$B$4+SUM($D$5:D36)+SUM($E$5:E36))</f>
        <v/>
      </c>
      <c r="G36" s="5"/>
    </row>
    <row r="37" customFormat="false" ht="15" hidden="false" customHeight="false" outlineLevel="0" collapsed="false">
      <c r="A37" s="18"/>
      <c r="B37" s="5"/>
      <c r="C37" s="5"/>
      <c r="D37" s="4"/>
      <c r="E37" s="4"/>
      <c r="F37" s="19" t="str">
        <f aca="false">IF(AND(D37="",E37=""),"",Boshlash!$B$4+SUM($D$5:D37)+SUM($E$5:E37))</f>
        <v/>
      </c>
      <c r="G37" s="5"/>
    </row>
    <row r="38" customFormat="false" ht="15" hidden="false" customHeight="false" outlineLevel="0" collapsed="false">
      <c r="A38" s="18"/>
      <c r="B38" s="5"/>
      <c r="C38" s="5"/>
      <c r="D38" s="4"/>
      <c r="E38" s="4"/>
      <c r="F38" s="19" t="str">
        <f aca="false">IF(AND(D38="",E38=""),"",Boshlash!$B$4+SUM($D$5:D38)+SUM($E$5:E38))</f>
        <v/>
      </c>
      <c r="G38" s="5"/>
    </row>
    <row r="39" customFormat="false" ht="15" hidden="false" customHeight="false" outlineLevel="0" collapsed="false">
      <c r="A39" s="18"/>
      <c r="B39" s="5"/>
      <c r="C39" s="5"/>
      <c r="D39" s="4"/>
      <c r="E39" s="4"/>
      <c r="F39" s="19" t="str">
        <f aca="false">IF(AND(D39="",E39=""),"",Boshlash!$B$4+SUM($D$5:D39)+SUM($E$5:E39))</f>
        <v/>
      </c>
      <c r="G39" s="5"/>
    </row>
    <row r="40" customFormat="false" ht="15" hidden="false" customHeight="false" outlineLevel="0" collapsed="false">
      <c r="A40" s="18"/>
      <c r="B40" s="5"/>
      <c r="C40" s="5"/>
      <c r="D40" s="4"/>
      <c r="E40" s="4"/>
      <c r="F40" s="19" t="str">
        <f aca="false">IF(AND(D40="",E40=""),"",Boshlash!$B$4+SUM($D$5:D40)+SUM($E$5:E40))</f>
        <v/>
      </c>
      <c r="G40" s="5"/>
    </row>
    <row r="41" customFormat="false" ht="15" hidden="false" customHeight="false" outlineLevel="0" collapsed="false">
      <c r="A41" s="18"/>
      <c r="B41" s="5"/>
      <c r="C41" s="5"/>
      <c r="D41" s="4"/>
      <c r="E41" s="4"/>
      <c r="F41" s="19" t="str">
        <f aca="false">IF(AND(D41="",E41=""),"",Boshlash!$B$4+SUM($D$5:D41)+SUM($E$5:E41))</f>
        <v/>
      </c>
      <c r="G41" s="5"/>
    </row>
    <row r="42" customFormat="false" ht="15" hidden="false" customHeight="false" outlineLevel="0" collapsed="false">
      <c r="A42" s="18"/>
      <c r="B42" s="5"/>
      <c r="C42" s="5"/>
      <c r="D42" s="4"/>
      <c r="E42" s="4"/>
      <c r="F42" s="19" t="str">
        <f aca="false">IF(AND(D42="",E42=""),"",Boshlash!$B$4+SUM($D$5:D42)+SUM($E$5:E42))</f>
        <v/>
      </c>
      <c r="G42" s="5"/>
    </row>
    <row r="43" customFormat="false" ht="15" hidden="false" customHeight="false" outlineLevel="0" collapsed="false">
      <c r="A43" s="18"/>
      <c r="B43" s="5"/>
      <c r="C43" s="5"/>
      <c r="D43" s="4"/>
      <c r="E43" s="4"/>
      <c r="F43" s="19" t="str">
        <f aca="false">IF(AND(D43="",E43=""),"",Boshlash!$B$4+SUM($D$5:D43)+SUM($E$5:E43))</f>
        <v/>
      </c>
      <c r="G43" s="5"/>
    </row>
    <row r="44" customFormat="false" ht="15" hidden="false" customHeight="false" outlineLevel="0" collapsed="false">
      <c r="A44" s="18"/>
      <c r="B44" s="5"/>
      <c r="C44" s="5"/>
      <c r="D44" s="4"/>
      <c r="E44" s="4"/>
      <c r="F44" s="19" t="str">
        <f aca="false">IF(AND(D44="",E44=""),"",Boshlash!$B$4+SUM($D$5:D44)+SUM($E$5:E44))</f>
        <v/>
      </c>
      <c r="G44" s="5"/>
    </row>
    <row r="45" customFormat="false" ht="15" hidden="false" customHeight="false" outlineLevel="0" collapsed="false">
      <c r="A45" s="18"/>
      <c r="B45" s="5"/>
      <c r="C45" s="5"/>
      <c r="D45" s="4"/>
      <c r="E45" s="4"/>
      <c r="F45" s="19" t="str">
        <f aca="false">IF(AND(D45="",E45=""),"",Boshlash!$B$4+SUM($D$5:D45)+SUM($E$5:E45))</f>
        <v/>
      </c>
      <c r="G45" s="5"/>
    </row>
    <row r="46" customFormat="false" ht="15" hidden="false" customHeight="false" outlineLevel="0" collapsed="false">
      <c r="A46" s="18"/>
      <c r="B46" s="5"/>
      <c r="C46" s="5"/>
      <c r="D46" s="4"/>
      <c r="E46" s="4"/>
      <c r="F46" s="19" t="str">
        <f aca="false">IF(AND(D46="",E46=""),"",Boshlash!$B$4+SUM($D$5:D46)+SUM($E$5:E46))</f>
        <v/>
      </c>
      <c r="G46" s="5"/>
    </row>
    <row r="47" customFormat="false" ht="15" hidden="false" customHeight="false" outlineLevel="0" collapsed="false">
      <c r="A47" s="18"/>
      <c r="B47" s="5"/>
      <c r="C47" s="5"/>
      <c r="D47" s="4"/>
      <c r="E47" s="4"/>
      <c r="F47" s="19" t="str">
        <f aca="false">IF(AND(D47="",E47=""),"",Boshlash!$B$4+SUM($D$5:D47)+SUM($E$5:E47))</f>
        <v/>
      </c>
      <c r="G47" s="5"/>
    </row>
    <row r="48" customFormat="false" ht="15" hidden="false" customHeight="false" outlineLevel="0" collapsed="false">
      <c r="A48" s="18"/>
      <c r="B48" s="5"/>
      <c r="C48" s="5"/>
      <c r="D48" s="4"/>
      <c r="E48" s="4"/>
      <c r="F48" s="19" t="str">
        <f aca="false">IF(AND(D48="",E48=""),"",Boshlash!$B$4+SUM($D$5:D48)+SUM($E$5:E48))</f>
        <v/>
      </c>
      <c r="G48" s="5"/>
    </row>
    <row r="49" customFormat="false" ht="15" hidden="false" customHeight="false" outlineLevel="0" collapsed="false">
      <c r="A49" s="18"/>
      <c r="B49" s="5"/>
      <c r="C49" s="5"/>
      <c r="D49" s="4"/>
      <c r="E49" s="4"/>
      <c r="F49" s="19" t="str">
        <f aca="false">IF(AND(D49="",E49=""),"",Boshlash!$B$4+SUM($D$5:D49)+SUM($E$5:E49))</f>
        <v/>
      </c>
      <c r="G49" s="5"/>
    </row>
    <row r="50" customFormat="false" ht="15" hidden="false" customHeight="false" outlineLevel="0" collapsed="false">
      <c r="A50" s="18"/>
      <c r="B50" s="5"/>
      <c r="C50" s="5"/>
      <c r="D50" s="4"/>
      <c r="E50" s="4"/>
      <c r="F50" s="19" t="str">
        <f aca="false">IF(AND(D50="",E50=""),"",Boshlash!$B$4+SUM($D$5:D50)+SUM($E$5:E50))</f>
        <v/>
      </c>
      <c r="G50" s="5"/>
    </row>
    <row r="51" customFormat="false" ht="15" hidden="false" customHeight="false" outlineLevel="0" collapsed="false">
      <c r="A51" s="18"/>
      <c r="B51" s="5"/>
      <c r="C51" s="5"/>
      <c r="D51" s="4"/>
      <c r="E51" s="4"/>
      <c r="F51" s="19" t="str">
        <f aca="false">IF(AND(D51="",E51=""),"",Boshlash!$B$4+SUM($D$5:D51)+SUM($E$5:E51))</f>
        <v/>
      </c>
      <c r="G51" s="5"/>
    </row>
    <row r="52" customFormat="false" ht="15" hidden="false" customHeight="false" outlineLevel="0" collapsed="false">
      <c r="A52" s="18"/>
      <c r="B52" s="5"/>
      <c r="C52" s="5"/>
      <c r="D52" s="4"/>
      <c r="E52" s="4"/>
      <c r="F52" s="19" t="str">
        <f aca="false">IF(AND(D52="",E52=""),"",Boshlash!$B$4+SUM($D$5:D52)+SUM($E$5:E52))</f>
        <v/>
      </c>
      <c r="G52" s="5"/>
    </row>
    <row r="53" customFormat="false" ht="15" hidden="false" customHeight="false" outlineLevel="0" collapsed="false">
      <c r="A53" s="18"/>
      <c r="B53" s="5"/>
      <c r="C53" s="5"/>
      <c r="D53" s="4"/>
      <c r="E53" s="4"/>
      <c r="F53" s="19" t="str">
        <f aca="false">IF(AND(D53="",E53=""),"",Boshlash!$B$4+SUM($D$5:D53)+SUM($E$5:E53))</f>
        <v/>
      </c>
      <c r="G53" s="5"/>
    </row>
    <row r="54" customFormat="false" ht="15" hidden="false" customHeight="false" outlineLevel="0" collapsed="false">
      <c r="A54" s="18"/>
      <c r="B54" s="5"/>
      <c r="C54" s="5"/>
      <c r="D54" s="4"/>
      <c r="E54" s="4"/>
      <c r="F54" s="19" t="str">
        <f aca="false">IF(AND(D54="",E54=""),"",Boshlash!$B$4+SUM($D$5:D54)+SUM($E$5:E54))</f>
        <v/>
      </c>
      <c r="G54" s="5"/>
    </row>
    <row r="55" customFormat="false" ht="15" hidden="false" customHeight="false" outlineLevel="0" collapsed="false">
      <c r="A55" s="18"/>
      <c r="B55" s="5"/>
      <c r="C55" s="5"/>
      <c r="D55" s="4"/>
      <c r="E55" s="4"/>
      <c r="F55" s="19" t="str">
        <f aca="false">IF(AND(D55="",E55=""),"",Boshlash!$B$4+SUM($D$5:D55)+SUM($E$5:E55))</f>
        <v/>
      </c>
      <c r="G55" s="5"/>
    </row>
    <row r="56" customFormat="false" ht="15" hidden="false" customHeight="false" outlineLevel="0" collapsed="false">
      <c r="A56" s="18"/>
      <c r="B56" s="5"/>
      <c r="C56" s="5"/>
      <c r="D56" s="4"/>
      <c r="E56" s="4"/>
      <c r="F56" s="19" t="str">
        <f aca="false">IF(AND(D56="",E56=""),"",Boshlash!$B$4+SUM($D$5:D56)+SUM($E$5:E56))</f>
        <v/>
      </c>
      <c r="G56" s="5"/>
    </row>
    <row r="57" customFormat="false" ht="15" hidden="false" customHeight="false" outlineLevel="0" collapsed="false">
      <c r="A57" s="18"/>
      <c r="B57" s="5"/>
      <c r="C57" s="5"/>
      <c r="D57" s="4"/>
      <c r="E57" s="4"/>
      <c r="F57" s="19" t="str">
        <f aca="false">IF(AND(D57="",E57=""),"",Boshlash!$B$4+SUM($D$5:D57)+SUM($E$5:E57))</f>
        <v/>
      </c>
      <c r="G57" s="5"/>
    </row>
    <row r="58" customFormat="false" ht="15" hidden="false" customHeight="false" outlineLevel="0" collapsed="false">
      <c r="A58" s="18"/>
      <c r="B58" s="5"/>
      <c r="C58" s="5"/>
      <c r="D58" s="4"/>
      <c r="E58" s="4"/>
      <c r="F58" s="19" t="str">
        <f aca="false">IF(AND(D58="",E58=""),"",Boshlash!$B$4+SUM($D$5:D58)+SUM($E$5:E58))</f>
        <v/>
      </c>
      <c r="G58" s="5"/>
    </row>
    <row r="59" customFormat="false" ht="15" hidden="false" customHeight="false" outlineLevel="0" collapsed="false">
      <c r="A59" s="18"/>
      <c r="B59" s="5"/>
      <c r="C59" s="5"/>
      <c r="D59" s="4"/>
      <c r="E59" s="4"/>
      <c r="F59" s="19" t="str">
        <f aca="false">IF(AND(D59="",E59=""),"",Boshlash!$B$4+SUM($D$5:D59)+SUM($E$5:E59))</f>
        <v/>
      </c>
      <c r="G59" s="5"/>
    </row>
    <row r="60" customFormat="false" ht="15" hidden="false" customHeight="false" outlineLevel="0" collapsed="false">
      <c r="A60" s="18"/>
      <c r="B60" s="5"/>
      <c r="C60" s="5"/>
      <c r="D60" s="4"/>
      <c r="E60" s="4"/>
      <c r="F60" s="19" t="str">
        <f aca="false">IF(AND(D60="",E60=""),"",Boshlash!$B$4+SUM($D$5:D60)+SUM($E$5:E60))</f>
        <v/>
      </c>
      <c r="G60" s="5"/>
    </row>
    <row r="61" customFormat="false" ht="15" hidden="false" customHeight="false" outlineLevel="0" collapsed="false">
      <c r="A61" s="18"/>
      <c r="B61" s="5"/>
      <c r="C61" s="5"/>
      <c r="D61" s="4"/>
      <c r="E61" s="4"/>
      <c r="F61" s="19" t="str">
        <f aca="false">IF(AND(D61="",E61=""),"",Boshlash!$B$4+SUM($D$5:D61)+SUM($E$5:E61))</f>
        <v/>
      </c>
      <c r="G61" s="5"/>
    </row>
    <row r="62" customFormat="false" ht="15" hidden="false" customHeight="false" outlineLevel="0" collapsed="false">
      <c r="A62" s="18"/>
      <c r="B62" s="5"/>
      <c r="C62" s="5"/>
      <c r="D62" s="4"/>
      <c r="E62" s="4"/>
      <c r="F62" s="19" t="str">
        <f aca="false">IF(AND(D62="",E62=""),"",Boshlash!$B$4+SUM($D$5:D62)+SUM($E$5:E62))</f>
        <v/>
      </c>
      <c r="G62" s="5"/>
    </row>
    <row r="63" customFormat="false" ht="15" hidden="false" customHeight="false" outlineLevel="0" collapsed="false">
      <c r="A63" s="18"/>
      <c r="B63" s="5"/>
      <c r="C63" s="5"/>
      <c r="D63" s="4"/>
      <c r="E63" s="4"/>
      <c r="F63" s="19" t="str">
        <f aca="false">IF(AND(D63="",E63=""),"",Boshlash!$B$4+SUM($D$5:D63)+SUM($E$5:E63))</f>
        <v/>
      </c>
      <c r="G63" s="5"/>
    </row>
    <row r="64" customFormat="false" ht="15" hidden="false" customHeight="false" outlineLevel="0" collapsed="false">
      <c r="A64" s="18"/>
      <c r="B64" s="5"/>
      <c r="C64" s="5"/>
      <c r="D64" s="4"/>
      <c r="E64" s="4"/>
      <c r="F64" s="19" t="str">
        <f aca="false">IF(AND(D64="",E64=""),"",Boshlash!$B$4+SUM($D$5:D64)+SUM($E$5:E64))</f>
        <v/>
      </c>
      <c r="G64" s="5"/>
    </row>
    <row r="65" customFormat="false" ht="15" hidden="false" customHeight="false" outlineLevel="0" collapsed="false">
      <c r="A65" s="18"/>
      <c r="B65" s="5"/>
      <c r="C65" s="5"/>
      <c r="D65" s="4"/>
      <c r="E65" s="4"/>
      <c r="F65" s="19" t="str">
        <f aca="false">IF(AND(D65="",E65=""),"",Boshlash!$B$4+SUM($D$5:D65)+SUM($E$5:E65))</f>
        <v/>
      </c>
      <c r="G65" s="5"/>
    </row>
    <row r="66" customFormat="false" ht="15" hidden="false" customHeight="false" outlineLevel="0" collapsed="false">
      <c r="A66" s="18"/>
      <c r="B66" s="5"/>
      <c r="C66" s="5"/>
      <c r="D66" s="4"/>
      <c r="E66" s="4"/>
      <c r="F66" s="19" t="str">
        <f aca="false">IF(AND(D66="",E66=""),"",Boshlash!$B$4+SUM($D$5:D66)+SUM($E$5:E66))</f>
        <v/>
      </c>
      <c r="G66" s="5"/>
    </row>
    <row r="67" customFormat="false" ht="15" hidden="false" customHeight="false" outlineLevel="0" collapsed="false">
      <c r="A67" s="18"/>
      <c r="B67" s="5"/>
      <c r="C67" s="5"/>
      <c r="D67" s="4"/>
      <c r="E67" s="4"/>
      <c r="F67" s="19" t="str">
        <f aca="false">IF(AND(D67="",E67=""),"",Boshlash!$B$4+SUM($D$5:D67)+SUM($E$5:E67))</f>
        <v/>
      </c>
      <c r="G67" s="5"/>
    </row>
    <row r="68" customFormat="false" ht="15" hidden="false" customHeight="false" outlineLevel="0" collapsed="false">
      <c r="A68" s="18"/>
      <c r="B68" s="5"/>
      <c r="C68" s="5"/>
      <c r="D68" s="4"/>
      <c r="E68" s="4"/>
      <c r="F68" s="19" t="str">
        <f aca="false">IF(AND(D68="",E68=""),"",Boshlash!$B$4+SUM($D$5:D68)+SUM($E$5:E68))</f>
        <v/>
      </c>
      <c r="G68" s="5"/>
    </row>
    <row r="69" customFormat="false" ht="15" hidden="false" customHeight="false" outlineLevel="0" collapsed="false">
      <c r="A69" s="18"/>
      <c r="B69" s="5"/>
      <c r="C69" s="5"/>
      <c r="D69" s="4"/>
      <c r="E69" s="4"/>
      <c r="F69" s="19" t="str">
        <f aca="false">IF(AND(D69="",E69=""),"",Boshlash!$B$4+SUM($D$5:D69)+SUM($E$5:E69))</f>
        <v/>
      </c>
      <c r="G69" s="5"/>
    </row>
    <row r="70" customFormat="false" ht="15" hidden="false" customHeight="false" outlineLevel="0" collapsed="false">
      <c r="A70" s="18"/>
      <c r="B70" s="5"/>
      <c r="C70" s="5"/>
      <c r="D70" s="4"/>
      <c r="E70" s="4"/>
      <c r="F70" s="19" t="str">
        <f aca="false">IF(AND(D70="",E70=""),"",Boshlash!$B$4+SUM($D$5:D70)+SUM($E$5:E70))</f>
        <v/>
      </c>
      <c r="G70" s="5"/>
    </row>
    <row r="71" customFormat="false" ht="15" hidden="false" customHeight="false" outlineLevel="0" collapsed="false">
      <c r="A71" s="18"/>
      <c r="B71" s="5"/>
      <c r="C71" s="5"/>
      <c r="D71" s="4"/>
      <c r="E71" s="4"/>
      <c r="F71" s="19" t="str">
        <f aca="false">IF(AND(D71="",E71=""),"",Boshlash!$B$4+SUM($D$5:D71)+SUM($E$5:E71))</f>
        <v/>
      </c>
      <c r="G71" s="5"/>
    </row>
    <row r="72" customFormat="false" ht="15" hidden="false" customHeight="false" outlineLevel="0" collapsed="false">
      <c r="A72" s="18"/>
      <c r="B72" s="5"/>
      <c r="C72" s="5"/>
      <c r="D72" s="4"/>
      <c r="E72" s="4"/>
      <c r="F72" s="19" t="str">
        <f aca="false">IF(AND(D72="",E72=""),"",Boshlash!$B$4+SUM($D$5:D72)+SUM($E$5:E72))</f>
        <v/>
      </c>
      <c r="G72" s="5"/>
    </row>
    <row r="73" customFormat="false" ht="15" hidden="false" customHeight="false" outlineLevel="0" collapsed="false">
      <c r="A73" s="18"/>
      <c r="B73" s="5"/>
      <c r="C73" s="5"/>
      <c r="D73" s="4"/>
      <c r="E73" s="4"/>
      <c r="F73" s="19" t="str">
        <f aca="false">IF(AND(D73="",E73=""),"",Boshlash!$B$4+SUM($D$5:D73)+SUM($E$5:E73))</f>
        <v/>
      </c>
      <c r="G73" s="5"/>
    </row>
    <row r="74" customFormat="false" ht="15" hidden="false" customHeight="false" outlineLevel="0" collapsed="false">
      <c r="A74" s="18"/>
      <c r="B74" s="5"/>
      <c r="C74" s="5"/>
      <c r="D74" s="4"/>
      <c r="E74" s="4"/>
      <c r="F74" s="19" t="str">
        <f aca="false">IF(AND(D74="",E74=""),"",Boshlash!$B$4+SUM($D$5:D74)+SUM($E$5:E74))</f>
        <v/>
      </c>
      <c r="G74" s="5"/>
    </row>
    <row r="75" customFormat="false" ht="15" hidden="false" customHeight="false" outlineLevel="0" collapsed="false">
      <c r="A75" s="18"/>
      <c r="B75" s="5"/>
      <c r="C75" s="5"/>
      <c r="D75" s="4"/>
      <c r="E75" s="4"/>
      <c r="F75" s="19" t="str">
        <f aca="false">IF(AND(D75="",E75=""),"",Boshlash!$B$4+SUM($D$5:D75)+SUM($E$5:E75))</f>
        <v/>
      </c>
      <c r="G75" s="5"/>
    </row>
    <row r="76" customFormat="false" ht="15" hidden="false" customHeight="false" outlineLevel="0" collapsed="false">
      <c r="A76" s="18"/>
      <c r="B76" s="5"/>
      <c r="C76" s="5"/>
      <c r="D76" s="4"/>
      <c r="E76" s="4"/>
      <c r="F76" s="19" t="str">
        <f aca="false">IF(AND(D76="",E76=""),"",Boshlash!$B$4+SUM($D$5:D76)+SUM($E$5:E76))</f>
        <v/>
      </c>
      <c r="G76" s="5"/>
    </row>
    <row r="77" customFormat="false" ht="15" hidden="false" customHeight="false" outlineLevel="0" collapsed="false">
      <c r="A77" s="18"/>
      <c r="B77" s="5"/>
      <c r="C77" s="5"/>
      <c r="D77" s="4"/>
      <c r="E77" s="4"/>
      <c r="F77" s="19" t="str">
        <f aca="false">IF(AND(D77="",E77=""),"",Boshlash!$B$4+SUM($D$5:D77)+SUM($E$5:E77))</f>
        <v/>
      </c>
      <c r="G77" s="5"/>
    </row>
    <row r="78" customFormat="false" ht="15" hidden="false" customHeight="false" outlineLevel="0" collapsed="false">
      <c r="A78" s="18"/>
      <c r="B78" s="5"/>
      <c r="C78" s="5"/>
      <c r="D78" s="4"/>
      <c r="E78" s="4"/>
      <c r="F78" s="19" t="str">
        <f aca="false">IF(AND(D78="",E78=""),"",Boshlash!$B$4+SUM($D$5:D78)+SUM($E$5:E78))</f>
        <v/>
      </c>
      <c r="G78" s="5"/>
    </row>
    <row r="79" customFormat="false" ht="15" hidden="false" customHeight="false" outlineLevel="0" collapsed="false">
      <c r="A79" s="18"/>
      <c r="B79" s="5"/>
      <c r="C79" s="5"/>
      <c r="D79" s="4"/>
      <c r="E79" s="4"/>
      <c r="F79" s="19" t="str">
        <f aca="false">IF(AND(D79="",E79=""),"",Boshlash!$B$4+SUM($D$5:D79)+SUM($E$5:E79))</f>
        <v/>
      </c>
      <c r="G79" s="5"/>
    </row>
    <row r="80" customFormat="false" ht="15" hidden="false" customHeight="false" outlineLevel="0" collapsed="false">
      <c r="A80" s="18"/>
      <c r="B80" s="5"/>
      <c r="C80" s="5"/>
      <c r="D80" s="4"/>
      <c r="E80" s="4"/>
      <c r="F80" s="19" t="str">
        <f aca="false">IF(AND(D80="",E80=""),"",Boshlash!$B$4+SUM($D$5:D80)+SUM($E$5:E80))</f>
        <v/>
      </c>
      <c r="G80" s="5"/>
    </row>
    <row r="81" customFormat="false" ht="15" hidden="false" customHeight="false" outlineLevel="0" collapsed="false">
      <c r="A81" s="18"/>
      <c r="B81" s="5"/>
      <c r="C81" s="5"/>
      <c r="D81" s="4"/>
      <c r="E81" s="4"/>
      <c r="F81" s="19" t="str">
        <f aca="false">IF(AND(D81="",E81=""),"",Boshlash!$B$4+SUM($D$5:D81)+SUM($E$5:E81))</f>
        <v/>
      </c>
      <c r="G81" s="5"/>
    </row>
    <row r="82" customFormat="false" ht="15" hidden="false" customHeight="false" outlineLevel="0" collapsed="false">
      <c r="A82" s="18"/>
      <c r="B82" s="5"/>
      <c r="C82" s="5"/>
      <c r="D82" s="4"/>
      <c r="E82" s="4"/>
      <c r="F82" s="19" t="str">
        <f aca="false">IF(AND(D82="",E82=""),"",Boshlash!$B$4+SUM($D$5:D82)+SUM($E$5:E82))</f>
        <v/>
      </c>
      <c r="G82" s="5"/>
    </row>
    <row r="83" customFormat="false" ht="15" hidden="false" customHeight="false" outlineLevel="0" collapsed="false">
      <c r="A83" s="18"/>
      <c r="B83" s="5"/>
      <c r="C83" s="5"/>
      <c r="D83" s="4"/>
      <c r="E83" s="4"/>
      <c r="F83" s="19" t="str">
        <f aca="false">IF(AND(D83="",E83=""),"",Boshlash!$B$4+SUM($D$5:D83)+SUM($E$5:E83))</f>
        <v/>
      </c>
      <c r="G83" s="5"/>
    </row>
    <row r="84" customFormat="false" ht="15" hidden="false" customHeight="false" outlineLevel="0" collapsed="false">
      <c r="A84" s="18"/>
      <c r="B84" s="5"/>
      <c r="C84" s="5"/>
      <c r="D84" s="4"/>
      <c r="E84" s="4"/>
      <c r="F84" s="19" t="str">
        <f aca="false">IF(AND(D84="",E84=""),"",Boshlash!$B$4+SUM($D$5:D84)+SUM($E$5:E84))</f>
        <v/>
      </c>
      <c r="G84" s="5"/>
    </row>
    <row r="85" customFormat="false" ht="15" hidden="false" customHeight="false" outlineLevel="0" collapsed="false">
      <c r="A85" s="18"/>
      <c r="B85" s="5"/>
      <c r="C85" s="5"/>
      <c r="D85" s="4"/>
      <c r="E85" s="4"/>
      <c r="F85" s="19" t="str">
        <f aca="false">IF(AND(D85="",E85=""),"",Boshlash!$B$4+SUM($D$5:D85)+SUM($E$5:E85))</f>
        <v/>
      </c>
      <c r="G85" s="5"/>
    </row>
    <row r="86" customFormat="false" ht="15" hidden="false" customHeight="false" outlineLevel="0" collapsed="false">
      <c r="A86" s="18"/>
      <c r="B86" s="5"/>
      <c r="C86" s="5"/>
      <c r="D86" s="4"/>
      <c r="E86" s="4"/>
      <c r="F86" s="19" t="str">
        <f aca="false">IF(AND(D86="",E86=""),"",Boshlash!$B$4+SUM($D$5:D86)+SUM($E$5:E86))</f>
        <v/>
      </c>
      <c r="G86" s="5"/>
    </row>
    <row r="87" customFormat="false" ht="15" hidden="false" customHeight="false" outlineLevel="0" collapsed="false">
      <c r="A87" s="18"/>
      <c r="B87" s="5"/>
      <c r="C87" s="5"/>
      <c r="D87" s="4"/>
      <c r="E87" s="4"/>
      <c r="F87" s="19" t="str">
        <f aca="false">IF(AND(D87="",E87=""),"",Boshlash!$B$4+SUM($D$5:D87)+SUM($E$5:E87))</f>
        <v/>
      </c>
      <c r="G87" s="5"/>
    </row>
    <row r="88" customFormat="false" ht="15" hidden="false" customHeight="false" outlineLevel="0" collapsed="false">
      <c r="A88" s="18"/>
      <c r="B88" s="5"/>
      <c r="C88" s="5"/>
      <c r="D88" s="4"/>
      <c r="E88" s="4"/>
      <c r="F88" s="19" t="str">
        <f aca="false">IF(AND(D88="",E88=""),"",Boshlash!$B$4+SUM($D$5:D88)+SUM($E$5:E88))</f>
        <v/>
      </c>
      <c r="G88" s="5"/>
    </row>
    <row r="89" customFormat="false" ht="15" hidden="false" customHeight="false" outlineLevel="0" collapsed="false">
      <c r="A89" s="18"/>
      <c r="B89" s="5"/>
      <c r="C89" s="5"/>
      <c r="D89" s="4"/>
      <c r="E89" s="4"/>
      <c r="F89" s="19" t="str">
        <f aca="false">IF(AND(D89="",E89=""),"",Boshlash!$B$4+SUM($D$5:D89)+SUM($E$5:E89))</f>
        <v/>
      </c>
      <c r="G89" s="5"/>
    </row>
    <row r="90" customFormat="false" ht="15" hidden="false" customHeight="false" outlineLevel="0" collapsed="false">
      <c r="A90" s="18"/>
      <c r="B90" s="5"/>
      <c r="C90" s="5"/>
      <c r="D90" s="4"/>
      <c r="E90" s="4"/>
      <c r="F90" s="19" t="str">
        <f aca="false">IF(AND(D90="",E90=""),"",Boshlash!$B$4+SUM($D$5:D90)+SUM($E$5:E90))</f>
        <v/>
      </c>
      <c r="G90" s="5"/>
    </row>
    <row r="91" customFormat="false" ht="15" hidden="false" customHeight="false" outlineLevel="0" collapsed="false">
      <c r="A91" s="18"/>
      <c r="B91" s="5"/>
      <c r="C91" s="5"/>
      <c r="D91" s="4"/>
      <c r="E91" s="4"/>
      <c r="F91" s="19" t="str">
        <f aca="false">IF(AND(D91="",E91=""),"",Boshlash!$B$4+SUM($D$5:D91)+SUM($E$5:E91))</f>
        <v/>
      </c>
      <c r="G91" s="5"/>
    </row>
    <row r="92" customFormat="false" ht="15" hidden="false" customHeight="false" outlineLevel="0" collapsed="false">
      <c r="A92" s="18"/>
      <c r="B92" s="5"/>
      <c r="C92" s="5"/>
      <c r="D92" s="4"/>
      <c r="E92" s="4"/>
      <c r="F92" s="19" t="str">
        <f aca="false">IF(AND(D92="",E92=""),"",Boshlash!$B$4+SUM($D$5:D92)+SUM($E$5:E92))</f>
        <v/>
      </c>
      <c r="G92" s="5"/>
    </row>
    <row r="93" customFormat="false" ht="15" hidden="false" customHeight="false" outlineLevel="0" collapsed="false">
      <c r="A93" s="18"/>
      <c r="B93" s="5"/>
      <c r="C93" s="5"/>
      <c r="D93" s="4"/>
      <c r="E93" s="4"/>
      <c r="F93" s="19" t="str">
        <f aca="false">IF(AND(D93="",E93=""),"",Boshlash!$B$4+SUM($D$5:D93)+SUM($E$5:E93))</f>
        <v/>
      </c>
      <c r="G93" s="5"/>
    </row>
    <row r="94" customFormat="false" ht="15" hidden="false" customHeight="false" outlineLevel="0" collapsed="false">
      <c r="A94" s="18"/>
      <c r="B94" s="5"/>
      <c r="C94" s="5"/>
      <c r="D94" s="4"/>
      <c r="E94" s="4"/>
      <c r="F94" s="19" t="str">
        <f aca="false">IF(AND(D94="",E94=""),"",Boshlash!$B$4+SUM($D$5:D94)+SUM($E$5:E94))</f>
        <v/>
      </c>
      <c r="G94" s="5"/>
    </row>
    <row r="95" customFormat="false" ht="15" hidden="false" customHeight="false" outlineLevel="0" collapsed="false">
      <c r="A95" s="18"/>
      <c r="B95" s="5"/>
      <c r="C95" s="5"/>
      <c r="D95" s="4"/>
      <c r="E95" s="4"/>
      <c r="F95" s="19" t="str">
        <f aca="false">IF(AND(D95="",E95=""),"",Boshlash!$B$4+SUM($D$5:D95)+SUM($E$5:E95))</f>
        <v/>
      </c>
      <c r="G95" s="5"/>
    </row>
    <row r="96" customFormat="false" ht="15" hidden="false" customHeight="false" outlineLevel="0" collapsed="false">
      <c r="A96" s="18"/>
      <c r="B96" s="5"/>
      <c r="C96" s="5"/>
      <c r="D96" s="4"/>
      <c r="E96" s="4"/>
      <c r="F96" s="19" t="str">
        <f aca="false">IF(AND(D96="",E96=""),"",Boshlash!$B$4+SUM($D$5:D96)+SUM($E$5:E96))</f>
        <v/>
      </c>
      <c r="G96" s="5"/>
    </row>
    <row r="97" customFormat="false" ht="15" hidden="false" customHeight="false" outlineLevel="0" collapsed="false">
      <c r="A97" s="18"/>
      <c r="B97" s="5"/>
      <c r="C97" s="5"/>
      <c r="D97" s="4"/>
      <c r="E97" s="4"/>
      <c r="F97" s="19" t="str">
        <f aca="false">IF(AND(D97="",E97=""),"",Boshlash!$B$4+SUM($D$5:D97)+SUM($E$5:E97))</f>
        <v/>
      </c>
      <c r="G97" s="5"/>
    </row>
    <row r="98" customFormat="false" ht="15" hidden="false" customHeight="false" outlineLevel="0" collapsed="false">
      <c r="A98" s="18"/>
      <c r="B98" s="5"/>
      <c r="C98" s="5"/>
      <c r="D98" s="4"/>
      <c r="E98" s="4"/>
      <c r="F98" s="19" t="str">
        <f aca="false">IF(AND(D98="",E98=""),"",Boshlash!$B$4+SUM($D$5:D98)+SUM($E$5:E98))</f>
        <v/>
      </c>
      <c r="G98" s="5"/>
    </row>
    <row r="99" customFormat="false" ht="15" hidden="false" customHeight="false" outlineLevel="0" collapsed="false">
      <c r="A99" s="18"/>
      <c r="B99" s="5"/>
      <c r="C99" s="5"/>
      <c r="D99" s="4"/>
      <c r="E99" s="4"/>
      <c r="F99" s="19" t="str">
        <f aca="false">IF(AND(D99="",E99=""),"",Boshlash!$B$4+SUM($D$5:D99)+SUM($E$5:E99))</f>
        <v/>
      </c>
      <c r="G99" s="5"/>
    </row>
    <row r="100" customFormat="false" ht="15" hidden="false" customHeight="false" outlineLevel="0" collapsed="false">
      <c r="A100" s="18"/>
      <c r="B100" s="5"/>
      <c r="C100" s="5"/>
      <c r="D100" s="4"/>
      <c r="E100" s="4"/>
      <c r="F100" s="19" t="str">
        <f aca="false">IF(AND(D100="",E100=""),"",Boshlash!$B$4+SUM($D$5:D100)+SUM($E$5:E100))</f>
        <v/>
      </c>
      <c r="G100" s="5"/>
    </row>
    <row r="101" customFormat="false" ht="15" hidden="false" customHeight="false" outlineLevel="0" collapsed="false">
      <c r="A101" s="18"/>
      <c r="B101" s="5"/>
      <c r="C101" s="5"/>
      <c r="D101" s="4"/>
      <c r="E101" s="4"/>
      <c r="F101" s="19" t="str">
        <f aca="false">IF(AND(D101="",E101=""),"",Boshlash!$B$4+SUM($D$5:D101)+SUM($E$5:E101))</f>
        <v/>
      </c>
      <c r="G101" s="5"/>
    </row>
    <row r="102" customFormat="false" ht="15" hidden="false" customHeight="false" outlineLevel="0" collapsed="false">
      <c r="A102" s="18"/>
      <c r="B102" s="5"/>
      <c r="C102" s="5"/>
      <c r="D102" s="4"/>
      <c r="E102" s="4"/>
      <c r="F102" s="19" t="str">
        <f aca="false">IF(AND(D102="",E102=""),"",Boshlash!$B$4+SUM($D$5:D102)+SUM($E$5:E102))</f>
        <v/>
      </c>
      <c r="G102" s="5"/>
    </row>
    <row r="103" customFormat="false" ht="15" hidden="false" customHeight="false" outlineLevel="0" collapsed="false">
      <c r="A103" s="18"/>
      <c r="B103" s="5"/>
      <c r="C103" s="5"/>
      <c r="D103" s="4"/>
      <c r="E103" s="4"/>
      <c r="F103" s="19" t="str">
        <f aca="false">IF(AND(D103="",E103=""),"",Boshlash!$B$4+SUM($D$5:D103)+SUM($E$5:E103))</f>
        <v/>
      </c>
      <c r="G103" s="5"/>
    </row>
    <row r="104" customFormat="false" ht="15" hidden="false" customHeight="false" outlineLevel="0" collapsed="false">
      <c r="A104" s="18"/>
      <c r="B104" s="5"/>
      <c r="C104" s="5"/>
      <c r="D104" s="4"/>
      <c r="E104" s="4"/>
      <c r="F104" s="19" t="str">
        <f aca="false">IF(AND(D104="",E104=""),"",Boshlash!$B$4+SUM($D$5:D104)+SUM($E$5:E104))</f>
        <v/>
      </c>
      <c r="G104" s="5"/>
    </row>
    <row r="105" customFormat="false" ht="15" hidden="false" customHeight="false" outlineLevel="0" collapsed="false">
      <c r="A105" s="18"/>
      <c r="B105" s="5"/>
      <c r="C105" s="5"/>
      <c r="D105" s="4"/>
      <c r="E105" s="4"/>
      <c r="F105" s="19" t="str">
        <f aca="false">IF(AND(D105="",E105=""),"",Boshlash!$B$4+SUM($D$5:D105)+SUM($E$5:E105))</f>
        <v/>
      </c>
      <c r="G105" s="5"/>
    </row>
    <row r="106" customFormat="false" ht="15" hidden="false" customHeight="false" outlineLevel="0" collapsed="false">
      <c r="A106" s="18"/>
      <c r="B106" s="5"/>
      <c r="C106" s="5"/>
      <c r="D106" s="4"/>
      <c r="E106" s="4"/>
      <c r="F106" s="19" t="str">
        <f aca="false">IF(AND(D106="",E106=""),"",Boshlash!$B$4+SUM($D$5:D106)+SUM($E$5:E106))</f>
        <v/>
      </c>
      <c r="G106" s="5"/>
    </row>
    <row r="107" customFormat="false" ht="15" hidden="false" customHeight="false" outlineLevel="0" collapsed="false">
      <c r="A107" s="18"/>
      <c r="B107" s="5"/>
      <c r="C107" s="5"/>
      <c r="D107" s="4"/>
      <c r="E107" s="4"/>
      <c r="F107" s="19" t="str">
        <f aca="false">IF(AND(D107="",E107=""),"",Boshlash!$B$4+SUM($D$5:D107)+SUM($E$5:E107))</f>
        <v/>
      </c>
      <c r="G107" s="5"/>
    </row>
    <row r="108" customFormat="false" ht="15" hidden="false" customHeight="false" outlineLevel="0" collapsed="false">
      <c r="A108" s="18"/>
      <c r="B108" s="5"/>
      <c r="C108" s="5"/>
      <c r="D108" s="4"/>
      <c r="E108" s="4"/>
      <c r="F108" s="19" t="str">
        <f aca="false">IF(AND(D108="",E108=""),"",Boshlash!$B$4+SUM($D$5:D108)+SUM($E$5:E108))</f>
        <v/>
      </c>
      <c r="G108" s="5"/>
    </row>
    <row r="109" customFormat="false" ht="15" hidden="false" customHeight="false" outlineLevel="0" collapsed="false">
      <c r="A109" s="18"/>
      <c r="B109" s="5"/>
      <c r="C109" s="5"/>
      <c r="D109" s="4"/>
      <c r="E109" s="4"/>
      <c r="F109" s="19" t="str">
        <f aca="false">IF(AND(D109="",E109=""),"",Boshlash!$B$4+SUM($D$5:D109)+SUM($E$5:E109))</f>
        <v/>
      </c>
      <c r="G109" s="5"/>
    </row>
    <row r="110" customFormat="false" ht="15" hidden="false" customHeight="false" outlineLevel="0" collapsed="false">
      <c r="A110" s="18"/>
      <c r="B110" s="5"/>
      <c r="C110" s="5"/>
      <c r="D110" s="4"/>
      <c r="E110" s="4"/>
      <c r="F110" s="19" t="str">
        <f aca="false">IF(AND(D110="",E110=""),"",Boshlash!$B$4+SUM($D$5:D110)+SUM($E$5:E110))</f>
        <v/>
      </c>
      <c r="G110" s="5"/>
    </row>
    <row r="111" customFormat="false" ht="15" hidden="false" customHeight="false" outlineLevel="0" collapsed="false">
      <c r="A111" s="18"/>
      <c r="B111" s="5"/>
      <c r="C111" s="5"/>
      <c r="D111" s="4"/>
      <c r="E111" s="4"/>
      <c r="F111" s="19" t="str">
        <f aca="false">IF(AND(D111="",E111=""),"",Boshlash!$B$4+SUM($D$5:D111)+SUM($E$5:E111))</f>
        <v/>
      </c>
      <c r="G111" s="5"/>
    </row>
    <row r="112" customFormat="false" ht="15" hidden="false" customHeight="false" outlineLevel="0" collapsed="false">
      <c r="A112" s="18"/>
      <c r="B112" s="5"/>
      <c r="C112" s="5"/>
      <c r="D112" s="4"/>
      <c r="E112" s="4"/>
      <c r="F112" s="19" t="str">
        <f aca="false">IF(AND(D112="",E112=""),"",Boshlash!$B$4+SUM($D$5:D112)+SUM($E$5:E112))</f>
        <v/>
      </c>
      <c r="G112" s="5"/>
    </row>
    <row r="113" customFormat="false" ht="15" hidden="false" customHeight="false" outlineLevel="0" collapsed="false">
      <c r="A113" s="18"/>
      <c r="B113" s="5"/>
      <c r="C113" s="5"/>
      <c r="D113" s="4"/>
      <c r="E113" s="4"/>
      <c r="F113" s="19" t="str">
        <f aca="false">IF(AND(D113="",E113=""),"",Boshlash!$B$4+SUM($D$5:D113)+SUM($E$5:E113))</f>
        <v/>
      </c>
      <c r="G113" s="5"/>
    </row>
    <row r="114" customFormat="false" ht="15" hidden="false" customHeight="false" outlineLevel="0" collapsed="false">
      <c r="A114" s="18"/>
      <c r="B114" s="5"/>
      <c r="C114" s="5"/>
      <c r="D114" s="4"/>
      <c r="E114" s="4"/>
      <c r="F114" s="19" t="str">
        <f aca="false">IF(AND(D114="",E114=""),"",Boshlash!$B$4+SUM($D$5:D114)+SUM($E$5:E114))</f>
        <v/>
      </c>
      <c r="G114" s="5"/>
    </row>
    <row r="115" customFormat="false" ht="15" hidden="false" customHeight="false" outlineLevel="0" collapsed="false">
      <c r="A115" s="18"/>
      <c r="B115" s="5"/>
      <c r="C115" s="5"/>
      <c r="D115" s="4"/>
      <c r="E115" s="4"/>
      <c r="F115" s="19" t="str">
        <f aca="false">IF(AND(D115="",E115=""),"",Boshlash!$B$4+SUM($D$5:D115)+SUM($E$5:E115))</f>
        <v/>
      </c>
      <c r="G115" s="5"/>
    </row>
    <row r="116" customFormat="false" ht="15" hidden="false" customHeight="false" outlineLevel="0" collapsed="false">
      <c r="A116" s="18"/>
      <c r="B116" s="5"/>
      <c r="C116" s="5"/>
      <c r="D116" s="4"/>
      <c r="E116" s="4"/>
      <c r="F116" s="19" t="str">
        <f aca="false">IF(AND(D116="",E116=""),"",Boshlash!$B$4+SUM($D$5:D116)+SUM($E$5:E116))</f>
        <v/>
      </c>
      <c r="G116" s="5"/>
    </row>
    <row r="117" customFormat="false" ht="15" hidden="false" customHeight="false" outlineLevel="0" collapsed="false">
      <c r="A117" s="18"/>
      <c r="B117" s="5"/>
      <c r="C117" s="5"/>
      <c r="D117" s="4"/>
      <c r="E117" s="4"/>
      <c r="F117" s="19" t="str">
        <f aca="false">IF(AND(D117="",E117=""),"",Boshlash!$B$4+SUM($D$5:D117)+SUM($E$5:E117))</f>
        <v/>
      </c>
      <c r="G117" s="5"/>
    </row>
    <row r="118" customFormat="false" ht="15" hidden="false" customHeight="false" outlineLevel="0" collapsed="false">
      <c r="A118" s="18"/>
      <c r="B118" s="5"/>
      <c r="C118" s="5"/>
      <c r="D118" s="4"/>
      <c r="E118" s="4"/>
      <c r="F118" s="19" t="str">
        <f aca="false">IF(AND(D118="",E118=""),"",Boshlash!$B$4+SUM($D$5:D118)+SUM($E$5:E118))</f>
        <v/>
      </c>
      <c r="G118" s="5"/>
    </row>
    <row r="119" customFormat="false" ht="15" hidden="false" customHeight="false" outlineLevel="0" collapsed="false">
      <c r="A119" s="18"/>
      <c r="B119" s="5"/>
      <c r="C119" s="5"/>
      <c r="D119" s="4"/>
      <c r="E119" s="4"/>
      <c r="F119" s="19" t="str">
        <f aca="false">IF(AND(D119="",E119=""),"",Boshlash!$B$4+SUM($D$5:D119)+SUM($E$5:E119))</f>
        <v/>
      </c>
      <c r="G119" s="5"/>
    </row>
    <row r="120" customFormat="false" ht="15" hidden="false" customHeight="false" outlineLevel="0" collapsed="false">
      <c r="A120" s="18"/>
      <c r="B120" s="5"/>
      <c r="C120" s="5"/>
      <c r="D120" s="4"/>
      <c r="E120" s="4"/>
      <c r="F120" s="19" t="str">
        <f aca="false">IF(AND(D120="",E120=""),"",Boshlash!$B$4+SUM($D$5:D120)+SUM($E$5:E120))</f>
        <v/>
      </c>
      <c r="G120" s="5"/>
    </row>
    <row r="121" customFormat="false" ht="15" hidden="false" customHeight="false" outlineLevel="0" collapsed="false">
      <c r="A121" s="18"/>
      <c r="B121" s="5"/>
      <c r="C121" s="5"/>
      <c r="D121" s="4"/>
      <c r="E121" s="4"/>
      <c r="F121" s="19" t="str">
        <f aca="false">IF(AND(D121="",E121=""),"",Boshlash!$B$4+SUM($D$5:D121)+SUM($E$5:E121))</f>
        <v/>
      </c>
      <c r="G121" s="5"/>
    </row>
    <row r="122" customFormat="false" ht="15" hidden="false" customHeight="false" outlineLevel="0" collapsed="false">
      <c r="A122" s="18"/>
      <c r="B122" s="5"/>
      <c r="C122" s="5"/>
      <c r="D122" s="4"/>
      <c r="E122" s="4"/>
      <c r="F122" s="19" t="str">
        <f aca="false">IF(AND(D122="",E122=""),"",Boshlash!$B$4+SUM($D$5:D122)+SUM($E$5:E122))</f>
        <v/>
      </c>
      <c r="G122" s="5"/>
    </row>
    <row r="123" customFormat="false" ht="15" hidden="false" customHeight="false" outlineLevel="0" collapsed="false">
      <c r="A123" s="18"/>
      <c r="B123" s="5"/>
      <c r="C123" s="5"/>
      <c r="D123" s="4"/>
      <c r="E123" s="4"/>
      <c r="F123" s="19" t="str">
        <f aca="false">IF(AND(D123="",E123=""),"",Boshlash!$B$4+SUM($D$5:D123)+SUM($E$5:E123))</f>
        <v/>
      </c>
      <c r="G123" s="5"/>
    </row>
    <row r="124" customFormat="false" ht="15" hidden="false" customHeight="false" outlineLevel="0" collapsed="false">
      <c r="A124" s="18"/>
      <c r="B124" s="5"/>
      <c r="C124" s="5"/>
      <c r="D124" s="4"/>
      <c r="E124" s="4"/>
      <c r="F124" s="19" t="str">
        <f aca="false">IF(AND(D124="",E124=""),"",Boshlash!$B$4+SUM($D$5:D124)+SUM($E$5:E124))</f>
        <v/>
      </c>
      <c r="G124" s="5"/>
    </row>
    <row r="125" customFormat="false" ht="15" hidden="false" customHeight="false" outlineLevel="0" collapsed="false">
      <c r="A125" s="18"/>
      <c r="B125" s="5"/>
      <c r="C125" s="5"/>
      <c r="D125" s="4"/>
      <c r="E125" s="4"/>
      <c r="F125" s="19" t="str">
        <f aca="false">IF(AND(D125="",E125=""),"",Boshlash!$B$4+SUM($D$5:D125)+SUM($E$5:E125))</f>
        <v/>
      </c>
      <c r="G125" s="5"/>
    </row>
    <row r="126" customFormat="false" ht="15" hidden="false" customHeight="false" outlineLevel="0" collapsed="false">
      <c r="A126" s="18"/>
      <c r="B126" s="5"/>
      <c r="C126" s="5"/>
      <c r="D126" s="4"/>
      <c r="E126" s="4"/>
      <c r="F126" s="19" t="str">
        <f aca="false">IF(AND(D126="",E126=""),"",Boshlash!$B$4+SUM($D$5:D126)+SUM($E$5:E126))</f>
        <v/>
      </c>
      <c r="G126" s="5"/>
    </row>
    <row r="127" customFormat="false" ht="15" hidden="false" customHeight="false" outlineLevel="0" collapsed="false">
      <c r="A127" s="18"/>
      <c r="B127" s="5"/>
      <c r="C127" s="5"/>
      <c r="D127" s="4"/>
      <c r="E127" s="4"/>
      <c r="F127" s="19" t="str">
        <f aca="false">IF(AND(D127="",E127=""),"",Boshlash!$B$4+SUM($D$5:D127)+SUM($E$5:E127))</f>
        <v/>
      </c>
      <c r="G127" s="5"/>
    </row>
    <row r="128" customFormat="false" ht="15" hidden="false" customHeight="false" outlineLevel="0" collapsed="false">
      <c r="A128" s="18"/>
      <c r="B128" s="5"/>
      <c r="C128" s="5"/>
      <c r="D128" s="4"/>
      <c r="E128" s="4"/>
      <c r="F128" s="19" t="str">
        <f aca="false">IF(AND(D128="",E128=""),"",Boshlash!$B$4+SUM($D$5:D128)+SUM($E$5:E128))</f>
        <v/>
      </c>
      <c r="G128" s="5"/>
    </row>
    <row r="129" customFormat="false" ht="15" hidden="false" customHeight="false" outlineLevel="0" collapsed="false">
      <c r="A129" s="18"/>
      <c r="B129" s="5"/>
      <c r="C129" s="5"/>
      <c r="D129" s="4"/>
      <c r="E129" s="4"/>
      <c r="F129" s="19" t="str">
        <f aca="false">IF(AND(D129="",E129=""),"",Boshlash!$B$4+SUM($D$5:D129)+SUM($E$5:E129))</f>
        <v/>
      </c>
      <c r="G129" s="5"/>
    </row>
    <row r="130" customFormat="false" ht="15" hidden="false" customHeight="false" outlineLevel="0" collapsed="false">
      <c r="A130" s="18"/>
      <c r="B130" s="5"/>
      <c r="C130" s="5"/>
      <c r="D130" s="4"/>
      <c r="E130" s="4"/>
      <c r="F130" s="19" t="str">
        <f aca="false">IF(AND(D130="",E130=""),"",Boshlash!$B$4+SUM($D$5:D130)+SUM($E$5:E130))</f>
        <v/>
      </c>
      <c r="G130" s="5"/>
    </row>
    <row r="131" customFormat="false" ht="15" hidden="false" customHeight="false" outlineLevel="0" collapsed="false">
      <c r="A131" s="18"/>
      <c r="B131" s="5"/>
      <c r="C131" s="5"/>
      <c r="D131" s="4"/>
      <c r="E131" s="4"/>
      <c r="F131" s="19" t="str">
        <f aca="false">IF(AND(D131="",E131=""),"",Boshlash!$B$4+SUM($D$5:D131)+SUM($E$5:E131))</f>
        <v/>
      </c>
      <c r="G131" s="5"/>
    </row>
    <row r="132" customFormat="false" ht="15" hidden="false" customHeight="false" outlineLevel="0" collapsed="false">
      <c r="A132" s="18"/>
      <c r="B132" s="5"/>
      <c r="C132" s="5"/>
      <c r="D132" s="4"/>
      <c r="E132" s="4"/>
      <c r="F132" s="19" t="str">
        <f aca="false">IF(AND(D132="",E132=""),"",Boshlash!$B$4+SUM($D$5:D132)+SUM($E$5:E132))</f>
        <v/>
      </c>
      <c r="G132" s="5"/>
    </row>
    <row r="133" customFormat="false" ht="15" hidden="false" customHeight="false" outlineLevel="0" collapsed="false">
      <c r="A133" s="18"/>
      <c r="B133" s="5"/>
      <c r="C133" s="5"/>
      <c r="D133" s="4"/>
      <c r="E133" s="4"/>
      <c r="F133" s="19" t="str">
        <f aca="false">IF(AND(D133="",E133=""),"",Boshlash!$B$4+SUM($D$5:D133)+SUM($E$5:E133))</f>
        <v/>
      </c>
      <c r="G133" s="5"/>
    </row>
    <row r="134" customFormat="false" ht="15" hidden="false" customHeight="false" outlineLevel="0" collapsed="false">
      <c r="A134" s="18"/>
      <c r="B134" s="5"/>
      <c r="C134" s="5"/>
      <c r="D134" s="4"/>
      <c r="E134" s="4"/>
      <c r="F134" s="19" t="str">
        <f aca="false">IF(AND(D134="",E134=""),"",Boshlash!$B$4+SUM($D$5:D134)+SUM($E$5:E134))</f>
        <v/>
      </c>
      <c r="G134" s="5"/>
    </row>
    <row r="135" customFormat="false" ht="15" hidden="false" customHeight="false" outlineLevel="0" collapsed="false">
      <c r="A135" s="18"/>
      <c r="B135" s="5"/>
      <c r="C135" s="5"/>
      <c r="D135" s="4"/>
      <c r="E135" s="4"/>
      <c r="F135" s="19" t="str">
        <f aca="false">IF(AND(D135="",E135=""),"",Boshlash!$B$4+SUM($D$5:D135)+SUM($E$5:E135))</f>
        <v/>
      </c>
      <c r="G135" s="5"/>
    </row>
    <row r="136" customFormat="false" ht="15" hidden="false" customHeight="false" outlineLevel="0" collapsed="false">
      <c r="A136" s="18"/>
      <c r="B136" s="5"/>
      <c r="C136" s="5"/>
      <c r="D136" s="4"/>
      <c r="E136" s="4"/>
      <c r="F136" s="19" t="str">
        <f aca="false">IF(AND(D136="",E136=""),"",Boshlash!$B$4+SUM($D$5:D136)+SUM($E$5:E136))</f>
        <v/>
      </c>
      <c r="G136" s="5"/>
    </row>
    <row r="137" customFormat="false" ht="15" hidden="false" customHeight="false" outlineLevel="0" collapsed="false">
      <c r="A137" s="18"/>
      <c r="B137" s="5"/>
      <c r="C137" s="5"/>
      <c r="D137" s="4"/>
      <c r="E137" s="4"/>
      <c r="F137" s="19" t="str">
        <f aca="false">IF(AND(D137="",E137=""),"",Boshlash!$B$4+SUM($D$5:D137)+SUM($E$5:E137))</f>
        <v/>
      </c>
      <c r="G137" s="5"/>
    </row>
    <row r="138" customFormat="false" ht="15" hidden="false" customHeight="false" outlineLevel="0" collapsed="false">
      <c r="A138" s="18"/>
      <c r="B138" s="5"/>
      <c r="C138" s="5"/>
      <c r="D138" s="4"/>
      <c r="E138" s="4"/>
      <c r="F138" s="19" t="str">
        <f aca="false">IF(AND(D138="",E138=""),"",Boshlash!$B$4+SUM($D$5:D138)+SUM($E$5:E138))</f>
        <v/>
      </c>
      <c r="G138" s="5"/>
    </row>
    <row r="139" customFormat="false" ht="15" hidden="false" customHeight="false" outlineLevel="0" collapsed="false">
      <c r="A139" s="18"/>
      <c r="B139" s="5"/>
      <c r="C139" s="5"/>
      <c r="D139" s="4"/>
      <c r="E139" s="4"/>
      <c r="F139" s="19" t="str">
        <f aca="false">IF(AND(D139="",E139=""),"",Boshlash!$B$4+SUM($D$5:D139)+SUM($E$5:E139))</f>
        <v/>
      </c>
      <c r="G139" s="5"/>
    </row>
    <row r="140" customFormat="false" ht="15" hidden="false" customHeight="false" outlineLevel="0" collapsed="false">
      <c r="A140" s="18"/>
      <c r="B140" s="5"/>
      <c r="C140" s="5"/>
      <c r="D140" s="4"/>
      <c r="E140" s="4"/>
      <c r="F140" s="19" t="str">
        <f aca="false">IF(AND(D140="",E140=""),"",Boshlash!$B$4+SUM($D$5:D140)+SUM($E$5:E140))</f>
        <v/>
      </c>
      <c r="G140" s="5"/>
    </row>
    <row r="141" customFormat="false" ht="15" hidden="false" customHeight="false" outlineLevel="0" collapsed="false">
      <c r="A141" s="18"/>
      <c r="B141" s="5"/>
      <c r="C141" s="5"/>
      <c r="D141" s="4"/>
      <c r="E141" s="4"/>
      <c r="F141" s="19" t="str">
        <f aca="false">IF(AND(D141="",E141=""),"",Boshlash!$B$4+SUM($D$5:D141)+SUM($E$5:E141))</f>
        <v/>
      </c>
      <c r="G141" s="5"/>
    </row>
    <row r="142" customFormat="false" ht="15" hidden="false" customHeight="false" outlineLevel="0" collapsed="false">
      <c r="A142" s="18"/>
      <c r="B142" s="5"/>
      <c r="C142" s="5"/>
      <c r="D142" s="4"/>
      <c r="E142" s="4"/>
      <c r="F142" s="19" t="str">
        <f aca="false">IF(AND(D142="",E142=""),"",Boshlash!$B$4+SUM($D$5:D142)+SUM($E$5:E142))</f>
        <v/>
      </c>
      <c r="G142" s="5"/>
    </row>
    <row r="143" customFormat="false" ht="15" hidden="false" customHeight="false" outlineLevel="0" collapsed="false">
      <c r="A143" s="18"/>
      <c r="B143" s="5"/>
      <c r="C143" s="5"/>
      <c r="D143" s="4"/>
      <c r="E143" s="4"/>
      <c r="F143" s="19" t="str">
        <f aca="false">IF(AND(D143="",E143=""),"",Boshlash!$B$4+SUM($D$5:D143)+SUM($E$5:E143))</f>
        <v/>
      </c>
      <c r="G143" s="5"/>
    </row>
    <row r="144" customFormat="false" ht="15" hidden="false" customHeight="false" outlineLevel="0" collapsed="false">
      <c r="A144" s="18"/>
      <c r="B144" s="5"/>
      <c r="C144" s="5"/>
      <c r="D144" s="4"/>
      <c r="E144" s="4"/>
      <c r="F144" s="19" t="str">
        <f aca="false">IF(AND(D144="",E144=""),"",Boshlash!$B$4+SUM($D$5:D144)+SUM($E$5:E144))</f>
        <v/>
      </c>
      <c r="G144" s="5"/>
    </row>
    <row r="145" customFormat="false" ht="15" hidden="false" customHeight="false" outlineLevel="0" collapsed="false">
      <c r="A145" s="18"/>
      <c r="B145" s="5"/>
      <c r="C145" s="5"/>
      <c r="D145" s="4"/>
      <c r="E145" s="4"/>
      <c r="F145" s="19" t="str">
        <f aca="false">IF(AND(D145="",E145=""),"",Boshlash!$B$4+SUM($D$5:D145)+SUM($E$5:E145))</f>
        <v/>
      </c>
      <c r="G145" s="5"/>
    </row>
    <row r="146" customFormat="false" ht="15" hidden="false" customHeight="false" outlineLevel="0" collapsed="false">
      <c r="A146" s="18"/>
      <c r="B146" s="5"/>
      <c r="C146" s="5"/>
      <c r="D146" s="4"/>
      <c r="E146" s="4"/>
      <c r="F146" s="19" t="str">
        <f aca="false">IF(AND(D146="",E146=""),"",Boshlash!$B$4+SUM($D$5:D146)+SUM($E$5:E146))</f>
        <v/>
      </c>
      <c r="G146" s="5"/>
    </row>
    <row r="147" customFormat="false" ht="15" hidden="false" customHeight="false" outlineLevel="0" collapsed="false">
      <c r="A147" s="18"/>
      <c r="B147" s="5"/>
      <c r="C147" s="5"/>
      <c r="D147" s="4"/>
      <c r="E147" s="4"/>
      <c r="F147" s="19" t="str">
        <f aca="false">IF(AND(D147="",E147=""),"",Boshlash!$B$4+SUM($D$5:D147)+SUM($E$5:E147))</f>
        <v/>
      </c>
      <c r="G147" s="5"/>
    </row>
    <row r="148" customFormat="false" ht="15" hidden="false" customHeight="false" outlineLevel="0" collapsed="false">
      <c r="A148" s="18"/>
      <c r="B148" s="5"/>
      <c r="C148" s="5"/>
      <c r="D148" s="4"/>
      <c r="E148" s="4"/>
      <c r="F148" s="19" t="str">
        <f aca="false">IF(AND(D148="",E148=""),"",Boshlash!$B$4+SUM($D$5:D148)+SUM($E$5:E148))</f>
        <v/>
      </c>
      <c r="G148" s="5"/>
    </row>
    <row r="149" customFormat="false" ht="15" hidden="false" customHeight="false" outlineLevel="0" collapsed="false">
      <c r="A149" s="18"/>
      <c r="B149" s="5"/>
      <c r="C149" s="5"/>
      <c r="D149" s="4"/>
      <c r="E149" s="4"/>
      <c r="F149" s="19" t="str">
        <f aca="false">IF(AND(D149="",E149=""),"",Boshlash!$B$4+SUM($D$5:D149)+SUM($E$5:E149))</f>
        <v/>
      </c>
      <c r="G149" s="5"/>
    </row>
    <row r="150" customFormat="false" ht="15" hidden="false" customHeight="false" outlineLevel="0" collapsed="false">
      <c r="A150" s="18"/>
      <c r="B150" s="5"/>
      <c r="C150" s="5"/>
      <c r="D150" s="4"/>
      <c r="E150" s="4"/>
      <c r="F150" s="19" t="str">
        <f aca="false">IF(AND(D150="",E150=""),"",Boshlash!$B$4+SUM($D$5:D150)+SUM($E$5:E150))</f>
        <v/>
      </c>
      <c r="G150" s="5"/>
    </row>
    <row r="151" customFormat="false" ht="15" hidden="false" customHeight="false" outlineLevel="0" collapsed="false">
      <c r="A151" s="18"/>
      <c r="B151" s="5"/>
      <c r="C151" s="5"/>
      <c r="D151" s="4"/>
      <c r="E151" s="4"/>
      <c r="F151" s="19" t="str">
        <f aca="false">IF(AND(D151="",E151=""),"",Boshlash!$B$4+SUM($D$5:D151)+SUM($E$5:E151))</f>
        <v/>
      </c>
      <c r="G151" s="5"/>
    </row>
    <row r="152" customFormat="false" ht="15" hidden="false" customHeight="false" outlineLevel="0" collapsed="false">
      <c r="A152" s="18"/>
      <c r="B152" s="5"/>
      <c r="C152" s="5"/>
      <c r="D152" s="4"/>
      <c r="E152" s="4"/>
      <c r="F152" s="19" t="str">
        <f aca="false">IF(AND(D152="",E152=""),"",Boshlash!$B$4+SUM($D$5:D152)+SUM($E$5:E152))</f>
        <v/>
      </c>
      <c r="G152" s="5"/>
    </row>
    <row r="153" customFormat="false" ht="15" hidden="false" customHeight="false" outlineLevel="0" collapsed="false">
      <c r="A153" s="18"/>
      <c r="B153" s="5"/>
      <c r="C153" s="5"/>
      <c r="D153" s="4"/>
      <c r="E153" s="4"/>
      <c r="F153" s="19" t="str">
        <f aca="false">IF(AND(D153="",E153=""),"",Boshlash!$B$4+SUM($D$5:D153)+SUM($E$5:E153))</f>
        <v/>
      </c>
      <c r="G153" s="5"/>
    </row>
    <row r="154" customFormat="false" ht="15" hidden="false" customHeight="false" outlineLevel="0" collapsed="false">
      <c r="A154" s="18"/>
      <c r="B154" s="5"/>
      <c r="C154" s="5"/>
      <c r="D154" s="4"/>
      <c r="E154" s="4"/>
      <c r="F154" s="19" t="str">
        <f aca="false">IF(AND(D154="",E154=""),"",Boshlash!$B$4+SUM($D$5:D154)+SUM($E$5:E154))</f>
        <v/>
      </c>
      <c r="G154" s="5"/>
    </row>
    <row r="155" customFormat="false" ht="15" hidden="false" customHeight="false" outlineLevel="0" collapsed="false">
      <c r="A155" s="18"/>
      <c r="B155" s="5"/>
      <c r="C155" s="5"/>
      <c r="D155" s="4"/>
      <c r="E155" s="4"/>
      <c r="F155" s="19" t="str">
        <f aca="false">IF(AND(D155="",E155=""),"",Boshlash!$B$4+SUM($D$5:D155)+SUM($E$5:E155))</f>
        <v/>
      </c>
      <c r="G155" s="5"/>
    </row>
    <row r="156" customFormat="false" ht="15" hidden="false" customHeight="false" outlineLevel="0" collapsed="false">
      <c r="A156" s="18"/>
      <c r="B156" s="5"/>
      <c r="C156" s="5"/>
      <c r="D156" s="4"/>
      <c r="E156" s="4"/>
      <c r="F156" s="19" t="str">
        <f aca="false">IF(AND(D156="",E156=""),"",Boshlash!$B$4+SUM($D$5:D156)+SUM($E$5:E156))</f>
        <v/>
      </c>
      <c r="G156" s="5"/>
    </row>
    <row r="157" customFormat="false" ht="15" hidden="false" customHeight="false" outlineLevel="0" collapsed="false">
      <c r="A157" s="18"/>
      <c r="B157" s="5"/>
      <c r="C157" s="5"/>
      <c r="D157" s="4"/>
      <c r="E157" s="4"/>
      <c r="F157" s="19" t="str">
        <f aca="false">IF(AND(D157="",E157=""),"",Boshlash!$B$4+SUM($D$5:D157)+SUM($E$5:E157))</f>
        <v/>
      </c>
      <c r="G157" s="5"/>
    </row>
    <row r="158" customFormat="false" ht="15" hidden="false" customHeight="false" outlineLevel="0" collapsed="false">
      <c r="A158" s="18"/>
      <c r="B158" s="5"/>
      <c r="C158" s="5"/>
      <c r="D158" s="4"/>
      <c r="E158" s="4"/>
      <c r="F158" s="19" t="str">
        <f aca="false">IF(AND(D158="",E158=""),"",Boshlash!$B$4+SUM($D$5:D158)+SUM($E$5:E158))</f>
        <v/>
      </c>
      <c r="G158" s="5"/>
    </row>
    <row r="159" customFormat="false" ht="15" hidden="false" customHeight="false" outlineLevel="0" collapsed="false">
      <c r="A159" s="18"/>
      <c r="B159" s="5"/>
      <c r="C159" s="5"/>
      <c r="D159" s="4"/>
      <c r="E159" s="4"/>
      <c r="F159" s="19" t="str">
        <f aca="false">IF(AND(D159="",E159=""),"",Boshlash!$B$4+SUM($D$5:D159)+SUM($E$5:E159))</f>
        <v/>
      </c>
      <c r="G159" s="5"/>
    </row>
    <row r="160" customFormat="false" ht="15" hidden="false" customHeight="false" outlineLevel="0" collapsed="false">
      <c r="A160" s="18"/>
      <c r="B160" s="5"/>
      <c r="C160" s="5"/>
      <c r="D160" s="4"/>
      <c r="E160" s="4"/>
      <c r="F160" s="19" t="str">
        <f aca="false">IF(AND(D160="",E160=""),"",Boshlash!$B$4+SUM($D$5:D160)+SUM($E$5:E160))</f>
        <v/>
      </c>
      <c r="G160" s="5"/>
    </row>
    <row r="161" customFormat="false" ht="15" hidden="false" customHeight="false" outlineLevel="0" collapsed="false">
      <c r="A161" s="18"/>
      <c r="B161" s="5"/>
      <c r="C161" s="5"/>
      <c r="D161" s="4"/>
      <c r="E161" s="4"/>
      <c r="F161" s="19" t="str">
        <f aca="false">IF(AND(D161="",E161=""),"",Boshlash!$B$4+SUM($D$5:D161)+SUM($E$5:E161))</f>
        <v/>
      </c>
      <c r="G161" s="5"/>
    </row>
    <row r="162" customFormat="false" ht="15" hidden="false" customHeight="false" outlineLevel="0" collapsed="false">
      <c r="A162" s="18"/>
      <c r="B162" s="5"/>
      <c r="C162" s="5"/>
      <c r="D162" s="4"/>
      <c r="E162" s="4"/>
      <c r="F162" s="19" t="str">
        <f aca="false">IF(AND(D162="",E162=""),"",Boshlash!$B$4+SUM($D$5:D162)+SUM($E$5:E162))</f>
        <v/>
      </c>
      <c r="G162" s="5"/>
    </row>
    <row r="163" customFormat="false" ht="15" hidden="false" customHeight="false" outlineLevel="0" collapsed="false">
      <c r="A163" s="18"/>
      <c r="B163" s="5"/>
      <c r="C163" s="5"/>
      <c r="D163" s="4"/>
      <c r="E163" s="4"/>
      <c r="F163" s="19" t="str">
        <f aca="false">IF(AND(D163="",E163=""),"",Boshlash!$B$4+SUM($D$5:D163)+SUM($E$5:E163))</f>
        <v/>
      </c>
      <c r="G163" s="5"/>
    </row>
    <row r="164" customFormat="false" ht="15" hidden="false" customHeight="false" outlineLevel="0" collapsed="false">
      <c r="A164" s="18"/>
      <c r="B164" s="5"/>
      <c r="C164" s="5"/>
      <c r="D164" s="4"/>
      <c r="E164" s="4"/>
      <c r="F164" s="19" t="str">
        <f aca="false">IF(AND(D164="",E164=""),"",Boshlash!$B$4+SUM($D$5:D164)+SUM($E$5:E164))</f>
        <v/>
      </c>
      <c r="G164" s="5"/>
    </row>
    <row r="165" customFormat="false" ht="15" hidden="false" customHeight="false" outlineLevel="0" collapsed="false">
      <c r="A165" s="18"/>
      <c r="B165" s="5"/>
      <c r="C165" s="5"/>
      <c r="D165" s="4"/>
      <c r="E165" s="4"/>
      <c r="F165" s="19" t="str">
        <f aca="false">IF(AND(D165="",E165=""),"",Boshlash!$B$4+SUM($D$5:D165)+SUM($E$5:E165))</f>
        <v/>
      </c>
      <c r="G165" s="5"/>
    </row>
    <row r="166" customFormat="false" ht="15" hidden="false" customHeight="false" outlineLevel="0" collapsed="false">
      <c r="A166" s="18"/>
      <c r="B166" s="5"/>
      <c r="C166" s="5"/>
      <c r="D166" s="4"/>
      <c r="E166" s="4"/>
      <c r="F166" s="19" t="str">
        <f aca="false">IF(AND(D166="",E166=""),"",Boshlash!$B$4+SUM($D$5:D166)+SUM($E$5:E166))</f>
        <v/>
      </c>
      <c r="G166" s="5"/>
    </row>
    <row r="167" customFormat="false" ht="15" hidden="false" customHeight="false" outlineLevel="0" collapsed="false">
      <c r="A167" s="18"/>
      <c r="B167" s="5"/>
      <c r="C167" s="5"/>
      <c r="D167" s="4"/>
      <c r="E167" s="4"/>
      <c r="F167" s="19" t="str">
        <f aca="false">IF(AND(D167="",E167=""),"",Boshlash!$B$4+SUM($D$5:D167)+SUM($E$5:E167))</f>
        <v/>
      </c>
      <c r="G167" s="5"/>
    </row>
    <row r="168" customFormat="false" ht="15" hidden="false" customHeight="false" outlineLevel="0" collapsed="false">
      <c r="A168" s="18"/>
      <c r="B168" s="5"/>
      <c r="C168" s="5"/>
      <c r="D168" s="4"/>
      <c r="E168" s="4"/>
      <c r="F168" s="19" t="str">
        <f aca="false">IF(AND(D168="",E168=""),"",Boshlash!$B$4+SUM($D$5:D168)+SUM($E$5:E168))</f>
        <v/>
      </c>
      <c r="G168" s="5"/>
    </row>
    <row r="169" customFormat="false" ht="15" hidden="false" customHeight="false" outlineLevel="0" collapsed="false">
      <c r="A169" s="18"/>
      <c r="B169" s="5"/>
      <c r="C169" s="5"/>
      <c r="D169" s="4"/>
      <c r="E169" s="4"/>
      <c r="F169" s="19" t="str">
        <f aca="false">IF(AND(D169="",E169=""),"",Boshlash!$B$4+SUM($D$5:D169)+SUM($E$5:E169))</f>
        <v/>
      </c>
      <c r="G169" s="5"/>
    </row>
    <row r="170" customFormat="false" ht="15" hidden="false" customHeight="false" outlineLevel="0" collapsed="false">
      <c r="A170" s="18"/>
      <c r="B170" s="5"/>
      <c r="C170" s="5"/>
      <c r="D170" s="4"/>
      <c r="E170" s="4"/>
      <c r="F170" s="19" t="str">
        <f aca="false">IF(AND(D170="",E170=""),"",Boshlash!$B$4+SUM($D$5:D170)+SUM($E$5:E170))</f>
        <v/>
      </c>
      <c r="G170" s="5"/>
    </row>
    <row r="171" customFormat="false" ht="15" hidden="false" customHeight="false" outlineLevel="0" collapsed="false">
      <c r="A171" s="18"/>
      <c r="B171" s="5"/>
      <c r="C171" s="5"/>
      <c r="D171" s="4"/>
      <c r="E171" s="4"/>
      <c r="F171" s="19" t="str">
        <f aca="false">IF(AND(D171="",E171=""),"",Boshlash!$B$4+SUM($D$5:D171)+SUM($E$5:E171))</f>
        <v/>
      </c>
      <c r="G171" s="5"/>
    </row>
    <row r="172" customFormat="false" ht="15" hidden="false" customHeight="false" outlineLevel="0" collapsed="false">
      <c r="A172" s="18"/>
      <c r="B172" s="5"/>
      <c r="C172" s="5"/>
      <c r="D172" s="4"/>
      <c r="E172" s="4"/>
      <c r="F172" s="19" t="str">
        <f aca="false">IF(AND(D172="",E172=""),"",Boshlash!$B$4+SUM($D$5:D172)+SUM($E$5:E172))</f>
        <v/>
      </c>
      <c r="G172" s="5"/>
    </row>
    <row r="173" customFormat="false" ht="15" hidden="false" customHeight="false" outlineLevel="0" collapsed="false">
      <c r="A173" s="18"/>
      <c r="B173" s="5"/>
      <c r="C173" s="5"/>
      <c r="D173" s="4"/>
      <c r="E173" s="4"/>
      <c r="F173" s="19" t="str">
        <f aca="false">IF(AND(D173="",E173=""),"",Boshlash!$B$4+SUM($D$5:D173)+SUM($E$5:E173))</f>
        <v/>
      </c>
      <c r="G173" s="5"/>
    </row>
    <row r="174" customFormat="false" ht="15" hidden="false" customHeight="false" outlineLevel="0" collapsed="false">
      <c r="A174" s="18"/>
      <c r="B174" s="5"/>
      <c r="C174" s="5"/>
      <c r="D174" s="4"/>
      <c r="E174" s="4"/>
      <c r="F174" s="19" t="str">
        <f aca="false">IF(AND(D174="",E174=""),"",Boshlash!$B$4+SUM($D$5:D174)+SUM($E$5:E174))</f>
        <v/>
      </c>
      <c r="G174" s="5"/>
    </row>
    <row r="175" customFormat="false" ht="15" hidden="false" customHeight="false" outlineLevel="0" collapsed="false">
      <c r="A175" s="18"/>
      <c r="B175" s="5"/>
      <c r="C175" s="5"/>
      <c r="D175" s="4"/>
      <c r="E175" s="4"/>
      <c r="F175" s="19" t="str">
        <f aca="false">IF(AND(D175="",E175=""),"",Boshlash!$B$4+SUM($D$5:D175)+SUM($E$5:E175))</f>
        <v/>
      </c>
      <c r="G175" s="5"/>
    </row>
    <row r="176" customFormat="false" ht="15" hidden="false" customHeight="false" outlineLevel="0" collapsed="false">
      <c r="A176" s="18"/>
      <c r="B176" s="5"/>
      <c r="C176" s="5"/>
      <c r="D176" s="4"/>
      <c r="E176" s="4"/>
      <c r="F176" s="19" t="str">
        <f aca="false">IF(AND(D176="",E176=""),"",Boshlash!$B$4+SUM($D$5:D176)+SUM($E$5:E176))</f>
        <v/>
      </c>
      <c r="G176" s="5"/>
    </row>
    <row r="177" customFormat="false" ht="15" hidden="false" customHeight="false" outlineLevel="0" collapsed="false">
      <c r="A177" s="18"/>
      <c r="B177" s="5"/>
      <c r="C177" s="5"/>
      <c r="D177" s="4"/>
      <c r="E177" s="4"/>
      <c r="F177" s="19" t="str">
        <f aca="false">IF(AND(D177="",E177=""),"",Boshlash!$B$4+SUM($D$5:D177)+SUM($E$5:E177))</f>
        <v/>
      </c>
      <c r="G177" s="5"/>
    </row>
    <row r="178" customFormat="false" ht="15" hidden="false" customHeight="false" outlineLevel="0" collapsed="false">
      <c r="A178" s="18"/>
      <c r="B178" s="5"/>
      <c r="C178" s="5"/>
      <c r="D178" s="4"/>
      <c r="E178" s="4"/>
      <c r="F178" s="19" t="str">
        <f aca="false">IF(AND(D178="",E178=""),"",Boshlash!$B$4+SUM($D$5:D178)+SUM($E$5:E178))</f>
        <v/>
      </c>
      <c r="G178" s="5"/>
    </row>
    <row r="179" customFormat="false" ht="15" hidden="false" customHeight="false" outlineLevel="0" collapsed="false">
      <c r="A179" s="18"/>
      <c r="B179" s="5"/>
      <c r="C179" s="5"/>
      <c r="D179" s="4"/>
      <c r="E179" s="4"/>
      <c r="F179" s="19" t="str">
        <f aca="false">IF(AND(D179="",E179=""),"",Boshlash!$B$4+SUM($D$5:D179)+SUM($E$5:E179))</f>
        <v/>
      </c>
      <c r="G179" s="5"/>
    </row>
    <row r="180" customFormat="false" ht="15" hidden="false" customHeight="false" outlineLevel="0" collapsed="false">
      <c r="A180" s="18"/>
      <c r="B180" s="5"/>
      <c r="C180" s="5"/>
      <c r="D180" s="4"/>
      <c r="E180" s="4"/>
      <c r="F180" s="19" t="str">
        <f aca="false">IF(AND(D180="",E180=""),"",Boshlash!$B$4+SUM($D$5:D180)+SUM($E$5:E180))</f>
        <v/>
      </c>
      <c r="G180" s="5"/>
    </row>
    <row r="181" customFormat="false" ht="15" hidden="false" customHeight="false" outlineLevel="0" collapsed="false">
      <c r="A181" s="18"/>
      <c r="B181" s="5"/>
      <c r="C181" s="5"/>
      <c r="D181" s="4"/>
      <c r="E181" s="4"/>
      <c r="F181" s="19" t="str">
        <f aca="false">IF(AND(D181="",E181=""),"",Boshlash!$B$4+SUM($D$5:D181)+SUM($E$5:E181))</f>
        <v/>
      </c>
      <c r="G181" s="5"/>
    </row>
    <row r="182" customFormat="false" ht="15" hidden="false" customHeight="false" outlineLevel="0" collapsed="false">
      <c r="A182" s="18"/>
      <c r="B182" s="5"/>
      <c r="C182" s="5"/>
      <c r="D182" s="4"/>
      <c r="E182" s="4"/>
      <c r="F182" s="19" t="str">
        <f aca="false">IF(AND(D182="",E182=""),"",Boshlash!$B$4+SUM($D$5:D182)+SUM($E$5:E182))</f>
        <v/>
      </c>
      <c r="G182" s="5"/>
    </row>
    <row r="183" customFormat="false" ht="15" hidden="false" customHeight="false" outlineLevel="0" collapsed="false">
      <c r="A183" s="18"/>
      <c r="B183" s="5"/>
      <c r="C183" s="5"/>
      <c r="D183" s="4"/>
      <c r="E183" s="4"/>
      <c r="F183" s="19" t="str">
        <f aca="false">IF(AND(D183="",E183=""),"",Boshlash!$B$4+SUM($D$5:D183)+SUM($E$5:E183))</f>
        <v/>
      </c>
      <c r="G183" s="5"/>
    </row>
    <row r="184" customFormat="false" ht="15" hidden="false" customHeight="false" outlineLevel="0" collapsed="false">
      <c r="A184" s="18"/>
      <c r="B184" s="5"/>
      <c r="C184" s="5"/>
      <c r="D184" s="4"/>
      <c r="E184" s="4"/>
      <c r="F184" s="19" t="str">
        <f aca="false">IF(AND(D184="",E184=""),"",Boshlash!$B$4+SUM($D$5:D184)+SUM($E$5:E184))</f>
        <v/>
      </c>
      <c r="G184" s="5"/>
    </row>
    <row r="185" customFormat="false" ht="15" hidden="false" customHeight="false" outlineLevel="0" collapsed="false">
      <c r="A185" s="18"/>
      <c r="B185" s="5"/>
      <c r="C185" s="5"/>
      <c r="D185" s="4"/>
      <c r="E185" s="4"/>
      <c r="F185" s="19" t="str">
        <f aca="false">IF(AND(D185="",E185=""),"",Boshlash!$B$4+SUM($D$5:D185)+SUM($E$5:E185))</f>
        <v/>
      </c>
      <c r="G185" s="5"/>
    </row>
    <row r="186" customFormat="false" ht="15" hidden="false" customHeight="false" outlineLevel="0" collapsed="false">
      <c r="A186" s="18"/>
      <c r="B186" s="5"/>
      <c r="C186" s="5"/>
      <c r="D186" s="4"/>
      <c r="E186" s="4"/>
      <c r="F186" s="19" t="str">
        <f aca="false">IF(AND(D186="",E186=""),"",Boshlash!$B$4+SUM($D$5:D186)+SUM($E$5:E186))</f>
        <v/>
      </c>
      <c r="G186" s="5"/>
    </row>
    <row r="187" customFormat="false" ht="15" hidden="false" customHeight="false" outlineLevel="0" collapsed="false">
      <c r="A187" s="18"/>
      <c r="B187" s="5"/>
      <c r="C187" s="5"/>
      <c r="D187" s="4"/>
      <c r="E187" s="4"/>
      <c r="F187" s="19" t="str">
        <f aca="false">IF(AND(D187="",E187=""),"",Boshlash!$B$4+SUM($D$5:D187)+SUM($E$5:E187))</f>
        <v/>
      </c>
      <c r="G187" s="5"/>
    </row>
    <row r="188" customFormat="false" ht="15" hidden="false" customHeight="false" outlineLevel="0" collapsed="false">
      <c r="A188" s="18"/>
      <c r="B188" s="5"/>
      <c r="C188" s="5"/>
      <c r="D188" s="4"/>
      <c r="E188" s="4"/>
      <c r="F188" s="19" t="str">
        <f aca="false">IF(AND(D188="",E188=""),"",Boshlash!$B$4+SUM($D$5:D188)+SUM($E$5:E188))</f>
        <v/>
      </c>
      <c r="G188" s="5"/>
    </row>
    <row r="189" customFormat="false" ht="15" hidden="false" customHeight="false" outlineLevel="0" collapsed="false">
      <c r="A189" s="18"/>
      <c r="B189" s="5"/>
      <c r="C189" s="5"/>
      <c r="D189" s="4"/>
      <c r="E189" s="4"/>
      <c r="F189" s="19" t="str">
        <f aca="false">IF(AND(D189="",E189=""),"",Boshlash!$B$4+SUM($D$5:D189)+SUM($E$5:E189))</f>
        <v/>
      </c>
      <c r="G189" s="5"/>
    </row>
    <row r="190" customFormat="false" ht="15" hidden="false" customHeight="false" outlineLevel="0" collapsed="false">
      <c r="A190" s="18"/>
      <c r="B190" s="5"/>
      <c r="C190" s="5"/>
      <c r="D190" s="4"/>
      <c r="E190" s="4"/>
      <c r="F190" s="19" t="str">
        <f aca="false">IF(AND(D190="",E190=""),"",Boshlash!$B$4+SUM($D$5:D190)+SUM($E$5:E190))</f>
        <v/>
      </c>
      <c r="G190" s="5"/>
    </row>
    <row r="191" customFormat="false" ht="15" hidden="false" customHeight="false" outlineLevel="0" collapsed="false">
      <c r="A191" s="18"/>
      <c r="B191" s="5"/>
      <c r="C191" s="5"/>
      <c r="D191" s="4"/>
      <c r="E191" s="4"/>
      <c r="F191" s="19" t="str">
        <f aca="false">IF(AND(D191="",E191=""),"",Boshlash!$B$4+SUM($D$5:D191)+SUM($E$5:E191))</f>
        <v/>
      </c>
      <c r="G191" s="5"/>
    </row>
    <row r="192" customFormat="false" ht="15" hidden="false" customHeight="false" outlineLevel="0" collapsed="false">
      <c r="A192" s="18"/>
      <c r="B192" s="5"/>
      <c r="C192" s="5"/>
      <c r="D192" s="4"/>
      <c r="E192" s="4"/>
      <c r="F192" s="19" t="str">
        <f aca="false">IF(AND(D192="",E192=""),"",Boshlash!$B$4+SUM($D$5:D192)+SUM($E$5:E192))</f>
        <v/>
      </c>
      <c r="G192" s="5"/>
    </row>
    <row r="193" customFormat="false" ht="15" hidden="false" customHeight="false" outlineLevel="0" collapsed="false">
      <c r="A193" s="18"/>
      <c r="B193" s="5"/>
      <c r="C193" s="5"/>
      <c r="D193" s="4"/>
      <c r="E193" s="4"/>
      <c r="F193" s="19" t="str">
        <f aca="false">IF(AND(D193="",E193=""),"",Boshlash!$B$4+SUM($D$5:D193)+SUM($E$5:E193))</f>
        <v/>
      </c>
      <c r="G193" s="5"/>
    </row>
    <row r="194" customFormat="false" ht="15" hidden="false" customHeight="false" outlineLevel="0" collapsed="false">
      <c r="A194" s="18"/>
      <c r="B194" s="5"/>
      <c r="C194" s="5"/>
      <c r="D194" s="4"/>
      <c r="E194" s="4"/>
      <c r="F194" s="19" t="str">
        <f aca="false">IF(AND(D194="",E194=""),"",Boshlash!$B$4+SUM($D$5:D194)+SUM($E$5:E194))</f>
        <v/>
      </c>
      <c r="G194" s="5"/>
    </row>
    <row r="195" customFormat="false" ht="15" hidden="false" customHeight="false" outlineLevel="0" collapsed="false">
      <c r="A195" s="18"/>
      <c r="B195" s="5"/>
      <c r="C195" s="5"/>
      <c r="D195" s="4"/>
      <c r="E195" s="4"/>
      <c r="F195" s="19" t="str">
        <f aca="false">IF(AND(D195="",E195=""),"",Boshlash!$B$4+SUM($D$5:D195)+SUM($E$5:E195))</f>
        <v/>
      </c>
      <c r="G195" s="5"/>
    </row>
    <row r="196" customFormat="false" ht="15" hidden="false" customHeight="false" outlineLevel="0" collapsed="false">
      <c r="A196" s="18"/>
      <c r="B196" s="5"/>
      <c r="C196" s="5"/>
      <c r="D196" s="4"/>
      <c r="E196" s="4"/>
      <c r="F196" s="19" t="str">
        <f aca="false">IF(AND(D196="",E196=""),"",Boshlash!$B$4+SUM($D$5:D196)+SUM($E$5:E196))</f>
        <v/>
      </c>
      <c r="G196" s="5"/>
    </row>
    <row r="197" customFormat="false" ht="15" hidden="false" customHeight="false" outlineLevel="0" collapsed="false">
      <c r="A197" s="18"/>
      <c r="B197" s="5"/>
      <c r="C197" s="5"/>
      <c r="D197" s="4"/>
      <c r="E197" s="4"/>
      <c r="F197" s="19" t="str">
        <f aca="false">IF(AND(D197="",E197=""),"",Boshlash!$B$4+SUM($D$5:D197)+SUM($E$5:E197))</f>
        <v/>
      </c>
      <c r="G197" s="5"/>
    </row>
    <row r="198" customFormat="false" ht="15" hidden="false" customHeight="false" outlineLevel="0" collapsed="false">
      <c r="A198" s="18"/>
      <c r="B198" s="5"/>
      <c r="C198" s="5"/>
      <c r="D198" s="4"/>
      <c r="E198" s="4"/>
      <c r="F198" s="19" t="str">
        <f aca="false">IF(AND(D198="",E198=""),"",Boshlash!$B$4+SUM($D$5:D198)+SUM($E$5:E198))</f>
        <v/>
      </c>
      <c r="G198" s="5"/>
    </row>
    <row r="199" customFormat="false" ht="15" hidden="false" customHeight="false" outlineLevel="0" collapsed="false">
      <c r="A199" s="18"/>
      <c r="B199" s="5"/>
      <c r="C199" s="5"/>
      <c r="D199" s="4"/>
      <c r="E199" s="4"/>
      <c r="F199" s="19" t="str">
        <f aca="false">IF(AND(D199="",E199=""),"",Boshlash!$B$4+SUM($D$5:D199)+SUM($E$5:E199))</f>
        <v/>
      </c>
      <c r="G199" s="5"/>
    </row>
    <row r="200" customFormat="false" ht="15" hidden="false" customHeight="false" outlineLevel="0" collapsed="false">
      <c r="A200" s="18"/>
      <c r="B200" s="5"/>
      <c r="C200" s="5"/>
      <c r="D200" s="4"/>
      <c r="E200" s="4"/>
      <c r="F200" s="19" t="str">
        <f aca="false">IF(AND(D200="",E200=""),"",Boshlash!$B$4+SUM($D$5:D200)+SUM($E$5:E200))</f>
        <v/>
      </c>
      <c r="G200" s="5"/>
    </row>
    <row r="201" customFormat="false" ht="15" hidden="false" customHeight="false" outlineLevel="0" collapsed="false">
      <c r="A201" s="18"/>
      <c r="B201" s="5"/>
      <c r="C201" s="5"/>
      <c r="D201" s="4"/>
      <c r="E201" s="4"/>
      <c r="F201" s="19" t="str">
        <f aca="false">IF(AND(D201="",E201=""),"",Boshlash!$B$4+SUM($D$5:D201)+SUM($E$5:E201))</f>
        <v/>
      </c>
      <c r="G201" s="5"/>
    </row>
    <row r="202" customFormat="false" ht="15" hidden="false" customHeight="false" outlineLevel="0" collapsed="false">
      <c r="A202" s="18"/>
      <c r="B202" s="5"/>
      <c r="C202" s="5"/>
      <c r="D202" s="4"/>
      <c r="E202" s="4"/>
      <c r="F202" s="19" t="str">
        <f aca="false">IF(AND(D202="",E202=""),"",Boshlash!$B$4+SUM($D$5:D202)+SUM($E$5:E202))</f>
        <v/>
      </c>
      <c r="G202" s="5"/>
    </row>
    <row r="203" customFormat="false" ht="15" hidden="false" customHeight="false" outlineLevel="0" collapsed="false">
      <c r="A203" s="18"/>
      <c r="B203" s="5"/>
      <c r="C203" s="5"/>
      <c r="D203" s="4"/>
      <c r="E203" s="4"/>
      <c r="F203" s="19" t="str">
        <f aca="false">IF(AND(D203="",E203=""),"",Boshlash!$B$4+SUM($D$5:D203)+SUM($E$5:E203))</f>
        <v/>
      </c>
      <c r="G203" s="5"/>
    </row>
    <row r="204" customFormat="false" ht="15" hidden="false" customHeight="false" outlineLevel="0" collapsed="false">
      <c r="A204" s="18"/>
      <c r="B204" s="5"/>
      <c r="C204" s="5"/>
      <c r="D204" s="4"/>
      <c r="E204" s="4"/>
      <c r="F204" s="19" t="str">
        <f aca="false">IF(AND(D204="",E204=""),"",Boshlash!$B$4+SUM($D$5:D204)+SUM($E$5:E204))</f>
        <v/>
      </c>
      <c r="G204" s="5"/>
    </row>
    <row r="205" customFormat="false" ht="15" hidden="false" customHeight="false" outlineLevel="0" collapsed="false">
      <c r="A205" s="18"/>
      <c r="B205" s="5"/>
      <c r="C205" s="5"/>
      <c r="D205" s="4"/>
      <c r="E205" s="4"/>
      <c r="F205" s="19" t="str">
        <f aca="false">IF(AND(D205="",E205=""),"",Boshlash!$B$4+SUM($D$5:D205)+SUM($E$5:E205))</f>
        <v/>
      </c>
      <c r="G205" s="5"/>
    </row>
    <row r="206" customFormat="false" ht="15" hidden="false" customHeight="false" outlineLevel="0" collapsed="false">
      <c r="A206" s="18"/>
      <c r="B206" s="5"/>
      <c r="C206" s="5"/>
      <c r="D206" s="4"/>
      <c r="E206" s="4"/>
      <c r="F206" s="19" t="str">
        <f aca="false">IF(AND(D206="",E206=""),"",Boshlash!$B$4+SUM($D$5:D206)+SUM($E$5:E206))</f>
        <v/>
      </c>
      <c r="G206" s="5"/>
    </row>
    <row r="207" customFormat="false" ht="15" hidden="false" customHeight="false" outlineLevel="0" collapsed="false">
      <c r="A207" s="18"/>
      <c r="B207" s="5"/>
      <c r="C207" s="5"/>
      <c r="D207" s="4"/>
      <c r="E207" s="4"/>
      <c r="F207" s="19" t="str">
        <f aca="false">IF(AND(D207="",E207=""),"",Boshlash!$B$4+SUM($D$5:D207)+SUM($E$5:E207))</f>
        <v/>
      </c>
      <c r="G207" s="5"/>
    </row>
    <row r="208" customFormat="false" ht="15" hidden="false" customHeight="false" outlineLevel="0" collapsed="false">
      <c r="A208" s="18"/>
      <c r="B208" s="5"/>
      <c r="C208" s="5"/>
      <c r="D208" s="4"/>
      <c r="E208" s="4"/>
      <c r="F208" s="19" t="str">
        <f aca="false">IF(AND(D208="",E208=""),"",Boshlash!$B$4+SUM($D$5:D208)+SUM($E$5:E208))</f>
        <v/>
      </c>
      <c r="G208" s="5"/>
    </row>
    <row r="209" customFormat="false" ht="15" hidden="false" customHeight="false" outlineLevel="0" collapsed="false">
      <c r="A209" s="18"/>
      <c r="B209" s="5"/>
      <c r="C209" s="5"/>
      <c r="D209" s="4"/>
      <c r="E209" s="4"/>
      <c r="F209" s="19" t="str">
        <f aca="false">IF(AND(D209="",E209=""),"",Boshlash!$B$4+SUM($D$5:D209)+SUM($E$5:E209))</f>
        <v/>
      </c>
      <c r="G209" s="5"/>
    </row>
    <row r="210" customFormat="false" ht="15" hidden="false" customHeight="false" outlineLevel="0" collapsed="false">
      <c r="A210" s="18"/>
      <c r="B210" s="5"/>
      <c r="C210" s="5"/>
      <c r="D210" s="4"/>
      <c r="E210" s="4"/>
      <c r="F210" s="19" t="str">
        <f aca="false">IF(AND(D210="",E210=""),"",Boshlash!$B$4+SUM($D$5:D210)+SUM($E$5:E210))</f>
        <v/>
      </c>
      <c r="G210" s="5"/>
    </row>
    <row r="211" customFormat="false" ht="15" hidden="false" customHeight="false" outlineLevel="0" collapsed="false">
      <c r="A211" s="18"/>
      <c r="B211" s="5"/>
      <c r="C211" s="5"/>
      <c r="D211" s="4"/>
      <c r="E211" s="4"/>
      <c r="F211" s="19" t="str">
        <f aca="false">IF(AND(D211="",E211=""),"",Boshlash!$B$4+SUM($D$5:D211)+SUM($E$5:E211))</f>
        <v/>
      </c>
      <c r="G211" s="5"/>
    </row>
    <row r="212" customFormat="false" ht="15" hidden="false" customHeight="false" outlineLevel="0" collapsed="false">
      <c r="A212" s="18"/>
      <c r="B212" s="5"/>
      <c r="C212" s="5"/>
      <c r="D212" s="4"/>
      <c r="E212" s="4"/>
      <c r="F212" s="19" t="str">
        <f aca="false">IF(AND(D212="",E212=""),"",Boshlash!$B$4+SUM($D$5:D212)+SUM($E$5:E212))</f>
        <v/>
      </c>
      <c r="G212" s="5"/>
    </row>
    <row r="213" customFormat="false" ht="15" hidden="false" customHeight="false" outlineLevel="0" collapsed="false">
      <c r="A213" s="18"/>
      <c r="B213" s="5"/>
      <c r="C213" s="5"/>
      <c r="D213" s="4"/>
      <c r="E213" s="4"/>
      <c r="F213" s="19" t="str">
        <f aca="false">IF(AND(D213="",E213=""),"",Boshlash!$B$4+SUM($D$5:D213)+SUM($E$5:E213))</f>
        <v/>
      </c>
      <c r="G213" s="5"/>
    </row>
    <row r="214" customFormat="false" ht="15" hidden="false" customHeight="false" outlineLevel="0" collapsed="false">
      <c r="A214" s="18"/>
      <c r="B214" s="5"/>
      <c r="C214" s="5"/>
      <c r="D214" s="4"/>
      <c r="E214" s="4"/>
      <c r="F214" s="19" t="str">
        <f aca="false">IF(AND(D214="",E214=""),"",Boshlash!$B$4+SUM($D$5:D214)+SUM($E$5:E214))</f>
        <v/>
      </c>
      <c r="G214" s="5"/>
    </row>
    <row r="215" customFormat="false" ht="15" hidden="false" customHeight="false" outlineLevel="0" collapsed="false">
      <c r="A215" s="18"/>
      <c r="B215" s="5"/>
      <c r="C215" s="5"/>
      <c r="D215" s="4"/>
      <c r="E215" s="4"/>
      <c r="F215" s="19" t="str">
        <f aca="false">IF(AND(D215="",E215=""),"",Boshlash!$B$4+SUM($D$5:D215)+SUM($E$5:E215))</f>
        <v/>
      </c>
      <c r="G215" s="5"/>
    </row>
    <row r="216" customFormat="false" ht="15" hidden="false" customHeight="false" outlineLevel="0" collapsed="false">
      <c r="A216" s="18"/>
      <c r="B216" s="5"/>
      <c r="C216" s="5"/>
      <c r="D216" s="4"/>
      <c r="E216" s="4"/>
      <c r="F216" s="19" t="str">
        <f aca="false">IF(AND(D216="",E216=""),"",Boshlash!$B$4+SUM($D$5:D216)+SUM($E$5:E216))</f>
        <v/>
      </c>
      <c r="G216" s="5"/>
    </row>
    <row r="217" customFormat="false" ht="15" hidden="false" customHeight="false" outlineLevel="0" collapsed="false">
      <c r="A217" s="18"/>
      <c r="B217" s="5"/>
      <c r="C217" s="5"/>
      <c r="D217" s="4"/>
      <c r="E217" s="4"/>
      <c r="F217" s="19" t="str">
        <f aca="false">IF(AND(D217="",E217=""),"",Boshlash!$B$4+SUM($D$5:D217)+SUM($E$5:E217))</f>
        <v/>
      </c>
      <c r="G217" s="5"/>
    </row>
    <row r="218" customFormat="false" ht="15" hidden="false" customHeight="false" outlineLevel="0" collapsed="false">
      <c r="A218" s="18"/>
      <c r="B218" s="5"/>
      <c r="C218" s="5"/>
      <c r="D218" s="4"/>
      <c r="E218" s="4"/>
      <c r="F218" s="19" t="str">
        <f aca="false">IF(AND(D218="",E218=""),"",Boshlash!$B$4+SUM($D$5:D218)+SUM($E$5:E218))</f>
        <v/>
      </c>
      <c r="G218" s="5"/>
    </row>
    <row r="219" customFormat="false" ht="15" hidden="false" customHeight="false" outlineLevel="0" collapsed="false">
      <c r="A219" s="18"/>
      <c r="B219" s="5"/>
      <c r="C219" s="5"/>
      <c r="D219" s="4"/>
      <c r="E219" s="4"/>
      <c r="F219" s="19" t="str">
        <f aca="false">IF(AND(D219="",E219=""),"",Boshlash!$B$4+SUM($D$5:D219)+SUM($E$5:E219))</f>
        <v/>
      </c>
      <c r="G219" s="5"/>
    </row>
    <row r="220" customFormat="false" ht="15" hidden="false" customHeight="false" outlineLevel="0" collapsed="false">
      <c r="A220" s="18"/>
      <c r="B220" s="5"/>
      <c r="C220" s="5"/>
      <c r="D220" s="4"/>
      <c r="E220" s="4"/>
      <c r="F220" s="19" t="str">
        <f aca="false">IF(AND(D220="",E220=""),"",Boshlash!$B$4+SUM($D$5:D220)+SUM($E$5:E220))</f>
        <v/>
      </c>
      <c r="G220" s="5"/>
    </row>
    <row r="221" customFormat="false" ht="15" hidden="false" customHeight="false" outlineLevel="0" collapsed="false">
      <c r="A221" s="18"/>
      <c r="B221" s="5"/>
      <c r="C221" s="5"/>
      <c r="D221" s="4"/>
      <c r="E221" s="4"/>
      <c r="F221" s="19" t="str">
        <f aca="false">IF(AND(D221="",E221=""),"",Boshlash!$B$4+SUM($D$5:D221)+SUM($E$5:E221))</f>
        <v/>
      </c>
      <c r="G221" s="5"/>
    </row>
    <row r="222" customFormat="false" ht="15" hidden="false" customHeight="false" outlineLevel="0" collapsed="false">
      <c r="A222" s="18"/>
      <c r="B222" s="5"/>
      <c r="C222" s="5"/>
      <c r="D222" s="4"/>
      <c r="E222" s="4"/>
      <c r="F222" s="19" t="str">
        <f aca="false">IF(AND(D222="",E222=""),"",Boshlash!$B$4+SUM($D$5:D222)+SUM($E$5:E222))</f>
        <v/>
      </c>
      <c r="G222" s="5"/>
    </row>
    <row r="223" customFormat="false" ht="15" hidden="false" customHeight="false" outlineLevel="0" collapsed="false">
      <c r="A223" s="18"/>
      <c r="B223" s="5"/>
      <c r="C223" s="5"/>
      <c r="D223" s="4"/>
      <c r="E223" s="4"/>
      <c r="F223" s="19" t="str">
        <f aca="false">IF(AND(D223="",E223=""),"",Boshlash!$B$4+SUM($D$5:D223)+SUM($E$5:E223))</f>
        <v/>
      </c>
      <c r="G223" s="5"/>
    </row>
    <row r="224" customFormat="false" ht="15" hidden="false" customHeight="false" outlineLevel="0" collapsed="false">
      <c r="A224" s="18"/>
      <c r="B224" s="5"/>
      <c r="C224" s="5"/>
      <c r="D224" s="4"/>
      <c r="E224" s="4"/>
      <c r="F224" s="19" t="str">
        <f aca="false">IF(AND(D224="",E224=""),"",Boshlash!$B$4+SUM($D$5:D224)+SUM($E$5:E224))</f>
        <v/>
      </c>
      <c r="G224" s="5"/>
    </row>
    <row r="225" customFormat="false" ht="15" hidden="false" customHeight="false" outlineLevel="0" collapsed="false">
      <c r="A225" s="18"/>
      <c r="B225" s="5"/>
      <c r="C225" s="5"/>
      <c r="D225" s="4"/>
      <c r="E225" s="4"/>
      <c r="F225" s="19" t="str">
        <f aca="false">IF(AND(D225="",E225=""),"",Boshlash!$B$4+SUM($D$5:D225)+SUM($E$5:E225))</f>
        <v/>
      </c>
      <c r="G225" s="5"/>
    </row>
    <row r="226" customFormat="false" ht="15" hidden="false" customHeight="false" outlineLevel="0" collapsed="false">
      <c r="A226" s="18"/>
      <c r="B226" s="5"/>
      <c r="C226" s="5"/>
      <c r="D226" s="4"/>
      <c r="E226" s="4"/>
      <c r="F226" s="19" t="str">
        <f aca="false">IF(AND(D226="",E226=""),"",Boshlash!$B$4+SUM($D$5:D226)+SUM($E$5:E226))</f>
        <v/>
      </c>
      <c r="G226" s="5"/>
    </row>
    <row r="227" customFormat="false" ht="15" hidden="false" customHeight="false" outlineLevel="0" collapsed="false">
      <c r="A227" s="18"/>
      <c r="B227" s="5"/>
      <c r="C227" s="5"/>
      <c r="D227" s="4"/>
      <c r="E227" s="4"/>
      <c r="F227" s="19" t="str">
        <f aca="false">IF(AND(D227="",E227=""),"",Boshlash!$B$4+SUM($D$5:D227)+SUM($E$5:E227))</f>
        <v/>
      </c>
      <c r="G227" s="5"/>
    </row>
    <row r="228" customFormat="false" ht="15" hidden="false" customHeight="false" outlineLevel="0" collapsed="false">
      <c r="A228" s="18"/>
      <c r="B228" s="5"/>
      <c r="C228" s="5"/>
      <c r="D228" s="4"/>
      <c r="E228" s="4"/>
      <c r="F228" s="19" t="str">
        <f aca="false">IF(AND(D228="",E228=""),"",Boshlash!$B$4+SUM($D$5:D228)+SUM($E$5:E228))</f>
        <v/>
      </c>
      <c r="G228" s="5"/>
    </row>
    <row r="229" customFormat="false" ht="15" hidden="false" customHeight="false" outlineLevel="0" collapsed="false">
      <c r="A229" s="18"/>
      <c r="B229" s="5"/>
      <c r="C229" s="5"/>
      <c r="D229" s="4"/>
      <c r="E229" s="4"/>
      <c r="F229" s="19" t="str">
        <f aca="false">IF(AND(D229="",E229=""),"",Boshlash!$B$4+SUM($D$5:D229)+SUM($E$5:E229))</f>
        <v/>
      </c>
      <c r="G229" s="5"/>
    </row>
    <row r="230" customFormat="false" ht="15" hidden="false" customHeight="false" outlineLevel="0" collapsed="false">
      <c r="A230" s="18"/>
      <c r="B230" s="5"/>
      <c r="C230" s="5"/>
      <c r="D230" s="4"/>
      <c r="E230" s="4"/>
      <c r="F230" s="19" t="str">
        <f aca="false">IF(AND(D230="",E230=""),"",Boshlash!$B$4+SUM($D$5:D230)+SUM($E$5:E230))</f>
        <v/>
      </c>
      <c r="G230" s="5"/>
    </row>
    <row r="231" customFormat="false" ht="15" hidden="false" customHeight="false" outlineLevel="0" collapsed="false">
      <c r="A231" s="18"/>
      <c r="B231" s="5"/>
      <c r="C231" s="5"/>
      <c r="D231" s="4"/>
      <c r="E231" s="4"/>
      <c r="F231" s="19" t="str">
        <f aca="false">IF(AND(D231="",E231=""),"",Boshlash!$B$4+SUM($D$5:D231)+SUM($E$5:E231))</f>
        <v/>
      </c>
      <c r="G231" s="5"/>
    </row>
    <row r="232" customFormat="false" ht="15" hidden="false" customHeight="false" outlineLevel="0" collapsed="false">
      <c r="A232" s="18"/>
      <c r="B232" s="5"/>
      <c r="C232" s="5"/>
      <c r="D232" s="4"/>
      <c r="E232" s="4"/>
      <c r="F232" s="19" t="str">
        <f aca="false">IF(AND(D232="",E232=""),"",Boshlash!$B$4+SUM($D$5:D232)+SUM($E$5:E232))</f>
        <v/>
      </c>
      <c r="G232" s="5"/>
    </row>
    <row r="233" customFormat="false" ht="15" hidden="false" customHeight="false" outlineLevel="0" collapsed="false">
      <c r="A233" s="18"/>
      <c r="B233" s="5"/>
      <c r="C233" s="5"/>
      <c r="D233" s="4"/>
      <c r="E233" s="4"/>
      <c r="F233" s="19" t="str">
        <f aca="false">IF(AND(D233="",E233=""),"",Boshlash!$B$4+SUM($D$5:D233)+SUM($E$5:E233))</f>
        <v/>
      </c>
      <c r="G233" s="5"/>
    </row>
    <row r="234" customFormat="false" ht="15" hidden="false" customHeight="false" outlineLevel="0" collapsed="false">
      <c r="A234" s="18"/>
      <c r="B234" s="5"/>
      <c r="C234" s="5"/>
      <c r="D234" s="4"/>
      <c r="E234" s="4"/>
      <c r="F234" s="19" t="str">
        <f aca="false">IF(AND(D234="",E234=""),"",Boshlash!$B$4+SUM($D$5:D234)+SUM($E$5:E234))</f>
        <v/>
      </c>
      <c r="G234" s="5"/>
    </row>
    <row r="235" customFormat="false" ht="15" hidden="false" customHeight="false" outlineLevel="0" collapsed="false">
      <c r="A235" s="18"/>
      <c r="B235" s="5"/>
      <c r="C235" s="5"/>
      <c r="D235" s="4"/>
      <c r="E235" s="4"/>
      <c r="F235" s="19" t="str">
        <f aca="false">IF(AND(D235="",E235=""),"",Boshlash!$B$4+SUM($D$5:D235)+SUM($E$5:E235))</f>
        <v/>
      </c>
      <c r="G235" s="5"/>
    </row>
    <row r="236" customFormat="false" ht="15" hidden="false" customHeight="false" outlineLevel="0" collapsed="false">
      <c r="A236" s="18"/>
      <c r="B236" s="5"/>
      <c r="C236" s="5"/>
      <c r="D236" s="4"/>
      <c r="E236" s="4"/>
      <c r="F236" s="19" t="str">
        <f aca="false">IF(AND(D236="",E236=""),"",Boshlash!$B$4+SUM($D$5:D236)+SUM($E$5:E236))</f>
        <v/>
      </c>
      <c r="G236" s="5"/>
    </row>
    <row r="237" customFormat="false" ht="15" hidden="false" customHeight="false" outlineLevel="0" collapsed="false">
      <c r="A237" s="18"/>
      <c r="B237" s="5"/>
      <c r="C237" s="5"/>
      <c r="D237" s="4"/>
      <c r="E237" s="4"/>
      <c r="F237" s="19" t="str">
        <f aca="false">IF(AND(D237="",E237=""),"",Boshlash!$B$4+SUM($D$5:D237)+SUM($E$5:E237))</f>
        <v/>
      </c>
      <c r="G237" s="5"/>
    </row>
    <row r="238" customFormat="false" ht="15" hidden="false" customHeight="false" outlineLevel="0" collapsed="false">
      <c r="A238" s="18"/>
      <c r="B238" s="5"/>
      <c r="C238" s="5"/>
      <c r="D238" s="4"/>
      <c r="E238" s="4"/>
      <c r="F238" s="19" t="str">
        <f aca="false">IF(AND(D238="",E238=""),"",Boshlash!$B$4+SUM($D$5:D238)+SUM($E$5:E238))</f>
        <v/>
      </c>
      <c r="G238" s="5"/>
    </row>
    <row r="239" customFormat="false" ht="15" hidden="false" customHeight="false" outlineLevel="0" collapsed="false">
      <c r="A239" s="18"/>
      <c r="B239" s="5"/>
      <c r="C239" s="5"/>
      <c r="D239" s="4"/>
      <c r="E239" s="4"/>
      <c r="F239" s="19" t="str">
        <f aca="false">IF(AND(D239="",E239=""),"",Boshlash!$B$4+SUM($D$5:D239)+SUM($E$5:E239))</f>
        <v/>
      </c>
      <c r="G239" s="5"/>
    </row>
    <row r="240" customFormat="false" ht="15" hidden="false" customHeight="false" outlineLevel="0" collapsed="false">
      <c r="A240" s="18"/>
      <c r="B240" s="5"/>
      <c r="C240" s="5"/>
      <c r="D240" s="4"/>
      <c r="E240" s="4"/>
      <c r="F240" s="19" t="str">
        <f aca="false">IF(AND(D240="",E240=""),"",Boshlash!$B$4+SUM($D$5:D240)+SUM($E$5:E240))</f>
        <v/>
      </c>
      <c r="G240" s="5"/>
    </row>
    <row r="241" customFormat="false" ht="15" hidden="false" customHeight="false" outlineLevel="0" collapsed="false">
      <c r="A241" s="18"/>
      <c r="B241" s="5"/>
      <c r="C241" s="5"/>
      <c r="D241" s="4"/>
      <c r="E241" s="4"/>
      <c r="F241" s="19" t="str">
        <f aca="false">IF(AND(D241="",E241=""),"",Boshlash!$B$4+SUM($D$5:D241)+SUM($E$5:E241))</f>
        <v/>
      </c>
      <c r="G241" s="5"/>
    </row>
    <row r="242" customFormat="false" ht="15" hidden="false" customHeight="false" outlineLevel="0" collapsed="false">
      <c r="A242" s="18"/>
      <c r="B242" s="5"/>
      <c r="C242" s="5"/>
      <c r="D242" s="4"/>
      <c r="E242" s="4"/>
      <c r="F242" s="19" t="str">
        <f aca="false">IF(AND(D242="",E242=""),"",Boshlash!$B$4+SUM($D$5:D242)+SUM($E$5:E242))</f>
        <v/>
      </c>
      <c r="G242" s="5"/>
    </row>
    <row r="243" customFormat="false" ht="15" hidden="false" customHeight="false" outlineLevel="0" collapsed="false">
      <c r="A243" s="18"/>
      <c r="B243" s="5"/>
      <c r="C243" s="5"/>
      <c r="D243" s="4"/>
      <c r="E243" s="4"/>
      <c r="F243" s="19" t="str">
        <f aca="false">IF(AND(D243="",E243=""),"",Boshlash!$B$4+SUM($D$5:D243)+SUM($E$5:E243))</f>
        <v/>
      </c>
      <c r="G243" s="5"/>
    </row>
    <row r="244" customFormat="false" ht="15" hidden="false" customHeight="false" outlineLevel="0" collapsed="false">
      <c r="A244" s="18"/>
      <c r="B244" s="5"/>
      <c r="C244" s="5"/>
      <c r="D244" s="4"/>
      <c r="E244" s="4"/>
      <c r="F244" s="19" t="str">
        <f aca="false">IF(AND(D244="",E244=""),"",Boshlash!$B$4+SUM($D$5:D244)+SUM($E$5:E244))</f>
        <v/>
      </c>
      <c r="G244" s="5"/>
    </row>
    <row r="245" customFormat="false" ht="15" hidden="false" customHeight="false" outlineLevel="0" collapsed="false">
      <c r="A245" s="18"/>
      <c r="B245" s="5"/>
      <c r="C245" s="5"/>
      <c r="D245" s="4"/>
      <c r="E245" s="4"/>
      <c r="F245" s="19" t="str">
        <f aca="false">IF(AND(D245="",E245=""),"",Boshlash!$B$4+SUM($D$5:D245)+SUM($E$5:E245))</f>
        <v/>
      </c>
      <c r="G245" s="5"/>
    </row>
    <row r="246" customFormat="false" ht="15" hidden="false" customHeight="false" outlineLevel="0" collapsed="false">
      <c r="A246" s="18"/>
      <c r="B246" s="5"/>
      <c r="C246" s="5"/>
      <c r="D246" s="4"/>
      <c r="E246" s="4"/>
      <c r="F246" s="19" t="str">
        <f aca="false">IF(AND(D246="",E246=""),"",Boshlash!$B$4+SUM($D$5:D246)+SUM($E$5:E246))</f>
        <v/>
      </c>
      <c r="G246" s="5"/>
    </row>
    <row r="247" customFormat="false" ht="15" hidden="false" customHeight="false" outlineLevel="0" collapsed="false">
      <c r="A247" s="18"/>
      <c r="B247" s="5"/>
      <c r="C247" s="5"/>
      <c r="D247" s="4"/>
      <c r="E247" s="4"/>
      <c r="F247" s="19" t="str">
        <f aca="false">IF(AND(D247="",E247=""),"",Boshlash!$B$4+SUM($D$5:D247)+SUM($E$5:E247))</f>
        <v/>
      </c>
      <c r="G247" s="5"/>
    </row>
    <row r="248" customFormat="false" ht="15" hidden="false" customHeight="false" outlineLevel="0" collapsed="false">
      <c r="A248" s="18"/>
      <c r="B248" s="5"/>
      <c r="C248" s="5"/>
      <c r="D248" s="4"/>
      <c r="E248" s="4"/>
      <c r="F248" s="19" t="str">
        <f aca="false">IF(AND(D248="",E248=""),"",Boshlash!$B$4+SUM($D$5:D248)+SUM($E$5:E248))</f>
        <v/>
      </c>
      <c r="G248" s="5"/>
    </row>
    <row r="249" customFormat="false" ht="15" hidden="false" customHeight="false" outlineLevel="0" collapsed="false">
      <c r="A249" s="18"/>
      <c r="B249" s="5"/>
      <c r="C249" s="5"/>
      <c r="D249" s="4"/>
      <c r="E249" s="4"/>
      <c r="F249" s="19" t="str">
        <f aca="false">IF(AND(D249="",E249=""),"",Boshlash!$B$4+SUM($D$5:D249)+SUM($E$5:E249))</f>
        <v/>
      </c>
      <c r="G249" s="5"/>
    </row>
    <row r="250" customFormat="false" ht="15" hidden="false" customHeight="false" outlineLevel="0" collapsed="false">
      <c r="A250" s="18"/>
      <c r="B250" s="5"/>
      <c r="C250" s="5"/>
      <c r="D250" s="4"/>
      <c r="E250" s="4"/>
      <c r="F250" s="19" t="str">
        <f aca="false">IF(AND(D250="",E250=""),"",Boshlash!$B$4+SUM($D$5:D250)+SUM($E$5:E250))</f>
        <v/>
      </c>
      <c r="G250" s="5"/>
    </row>
    <row r="251" customFormat="false" ht="15" hidden="false" customHeight="false" outlineLevel="0" collapsed="false">
      <c r="A251" s="18"/>
      <c r="B251" s="5"/>
      <c r="C251" s="5"/>
      <c r="D251" s="4"/>
      <c r="E251" s="4"/>
      <c r="F251" s="19" t="str">
        <f aca="false">IF(AND(D251="",E251=""),"",Boshlash!$B$4+SUM($D$5:D251)+SUM($E$5:E251))</f>
        <v/>
      </c>
      <c r="G251" s="5"/>
    </row>
    <row r="252" customFormat="false" ht="15" hidden="false" customHeight="false" outlineLevel="0" collapsed="false">
      <c r="A252" s="18"/>
      <c r="B252" s="5"/>
      <c r="C252" s="5"/>
      <c r="D252" s="4"/>
      <c r="E252" s="4"/>
      <c r="F252" s="19" t="str">
        <f aca="false">IF(AND(D252="",E252=""),"",Boshlash!$B$4+SUM($D$5:D252)+SUM($E$5:E252))</f>
        <v/>
      </c>
      <c r="G252" s="5"/>
    </row>
    <row r="253" customFormat="false" ht="15" hidden="false" customHeight="false" outlineLevel="0" collapsed="false">
      <c r="A253" s="18"/>
      <c r="B253" s="5"/>
      <c r="C253" s="5"/>
      <c r="D253" s="4"/>
      <c r="E253" s="4"/>
      <c r="F253" s="19" t="str">
        <f aca="false">IF(AND(D253="",E253=""),"",Boshlash!$B$4+SUM($D$5:D253)+SUM($E$5:E253))</f>
        <v/>
      </c>
      <c r="G253" s="5"/>
    </row>
    <row r="254" customFormat="false" ht="15" hidden="false" customHeight="false" outlineLevel="0" collapsed="false">
      <c r="A254" s="18"/>
      <c r="B254" s="5"/>
      <c r="C254" s="5"/>
      <c r="D254" s="4"/>
      <c r="E254" s="4"/>
      <c r="F254" s="19" t="str">
        <f aca="false">IF(AND(D254="",E254=""),"",Boshlash!$B$4+SUM($D$5:D254)+SUM($E$5:E254))</f>
        <v/>
      </c>
      <c r="G254" s="5"/>
    </row>
    <row r="255" customFormat="false" ht="15" hidden="false" customHeight="false" outlineLevel="0" collapsed="false">
      <c r="A255" s="18"/>
      <c r="B255" s="5"/>
      <c r="C255" s="5"/>
      <c r="D255" s="4"/>
      <c r="E255" s="4"/>
      <c r="F255" s="19" t="str">
        <f aca="false">IF(AND(D255="",E255=""),"",Boshlash!$B$4+SUM($D$5:D255)+SUM($E$5:E255))</f>
        <v/>
      </c>
      <c r="G255" s="5"/>
    </row>
    <row r="256" customFormat="false" ht="15" hidden="false" customHeight="false" outlineLevel="0" collapsed="false">
      <c r="A256" s="18"/>
      <c r="B256" s="5"/>
      <c r="C256" s="5"/>
      <c r="D256" s="4"/>
      <c r="E256" s="4"/>
      <c r="F256" s="19" t="str">
        <f aca="false">IF(AND(D256="",E256=""),"",Boshlash!$B$4+SUM($D$5:D256)+SUM($E$5:E256))</f>
        <v/>
      </c>
      <c r="G256" s="5"/>
    </row>
    <row r="257" customFormat="false" ht="15" hidden="false" customHeight="false" outlineLevel="0" collapsed="false">
      <c r="A257" s="18"/>
      <c r="B257" s="5"/>
      <c r="C257" s="5"/>
      <c r="D257" s="4"/>
      <c r="E257" s="4"/>
      <c r="F257" s="19" t="str">
        <f aca="false">IF(AND(D257="",E257=""),"",Boshlash!$B$4+SUM($D$5:D257)+SUM($E$5:E257))</f>
        <v/>
      </c>
      <c r="G257" s="5"/>
    </row>
    <row r="258" customFormat="false" ht="15" hidden="false" customHeight="false" outlineLevel="0" collapsed="false">
      <c r="A258" s="18"/>
      <c r="B258" s="5"/>
      <c r="C258" s="5"/>
      <c r="D258" s="4"/>
      <c r="E258" s="4"/>
      <c r="F258" s="19" t="str">
        <f aca="false">IF(AND(D258="",E258=""),"",Boshlash!$B$4+SUM($D$5:D258)+SUM($E$5:E258))</f>
        <v/>
      </c>
      <c r="G258" s="5"/>
    </row>
    <row r="259" customFormat="false" ht="15" hidden="false" customHeight="false" outlineLevel="0" collapsed="false">
      <c r="A259" s="18"/>
      <c r="B259" s="5"/>
      <c r="C259" s="5"/>
      <c r="D259" s="4"/>
      <c r="E259" s="4"/>
      <c r="F259" s="19" t="str">
        <f aca="false">IF(AND(D259="",E259=""),"",Boshlash!$B$4+SUM($D$5:D259)+SUM($E$5:E259))</f>
        <v/>
      </c>
      <c r="G259" s="5"/>
    </row>
    <row r="260" customFormat="false" ht="15" hidden="false" customHeight="false" outlineLevel="0" collapsed="false">
      <c r="A260" s="18"/>
      <c r="B260" s="5"/>
      <c r="C260" s="5"/>
      <c r="D260" s="4"/>
      <c r="E260" s="4"/>
      <c r="F260" s="19" t="str">
        <f aca="false">IF(AND(D260="",E260=""),"",Boshlash!$B$4+SUM($D$5:D260)+SUM($E$5:E260))</f>
        <v/>
      </c>
      <c r="G260" s="5"/>
    </row>
    <row r="261" customFormat="false" ht="15" hidden="false" customHeight="false" outlineLevel="0" collapsed="false">
      <c r="A261" s="18"/>
      <c r="B261" s="5"/>
      <c r="C261" s="5"/>
      <c r="D261" s="4"/>
      <c r="E261" s="4"/>
      <c r="F261" s="19" t="str">
        <f aca="false">IF(AND(D261="",E261=""),"",Boshlash!$B$4+SUM($D$5:D261)+SUM($E$5:E261))</f>
        <v/>
      </c>
      <c r="G261" s="5"/>
    </row>
    <row r="262" customFormat="false" ht="15" hidden="false" customHeight="false" outlineLevel="0" collapsed="false">
      <c r="A262" s="18"/>
      <c r="B262" s="5"/>
      <c r="C262" s="5"/>
      <c r="D262" s="4"/>
      <c r="E262" s="4"/>
      <c r="F262" s="19" t="str">
        <f aca="false">IF(AND(D262="",E262=""),"",Boshlash!$B$4+SUM($D$5:D262)+SUM($E$5:E262))</f>
        <v/>
      </c>
      <c r="G262" s="5"/>
    </row>
    <row r="263" customFormat="false" ht="15" hidden="false" customHeight="false" outlineLevel="0" collapsed="false">
      <c r="A263" s="18"/>
      <c r="B263" s="5"/>
      <c r="C263" s="5"/>
      <c r="D263" s="4"/>
      <c r="E263" s="4"/>
      <c r="F263" s="19" t="str">
        <f aca="false">IF(AND(D263="",E263=""),"",Boshlash!$B$4+SUM($D$5:D263)+SUM($E$5:E263))</f>
        <v/>
      </c>
      <c r="G263" s="5"/>
    </row>
    <row r="264" customFormat="false" ht="15" hidden="false" customHeight="false" outlineLevel="0" collapsed="false">
      <c r="A264" s="18"/>
      <c r="B264" s="5"/>
      <c r="C264" s="5"/>
      <c r="D264" s="4"/>
      <c r="E264" s="4"/>
      <c r="F264" s="19" t="str">
        <f aca="false">IF(AND(D264="",E264=""),"",Boshlash!$B$4+SUM($D$5:D264)+SUM($E$5:E264))</f>
        <v/>
      </c>
      <c r="G264" s="5"/>
    </row>
    <row r="265" customFormat="false" ht="15" hidden="false" customHeight="false" outlineLevel="0" collapsed="false">
      <c r="A265" s="18"/>
      <c r="B265" s="5"/>
      <c r="C265" s="5"/>
      <c r="D265" s="4"/>
      <c r="E265" s="4"/>
      <c r="F265" s="19" t="str">
        <f aca="false">IF(AND(D265="",E265=""),"",Boshlash!$B$4+SUM($D$5:D265)+SUM($E$5:E265))</f>
        <v/>
      </c>
      <c r="G265" s="5"/>
    </row>
    <row r="266" customFormat="false" ht="15" hidden="false" customHeight="false" outlineLevel="0" collapsed="false">
      <c r="A266" s="18"/>
      <c r="B266" s="5"/>
      <c r="C266" s="5"/>
      <c r="D266" s="4"/>
      <c r="E266" s="4"/>
      <c r="F266" s="19" t="str">
        <f aca="false">IF(AND(D266="",E266=""),"",Boshlash!$B$4+SUM($D$5:D266)+SUM($E$5:E266))</f>
        <v/>
      </c>
      <c r="G266" s="5"/>
    </row>
    <row r="267" customFormat="false" ht="15" hidden="false" customHeight="false" outlineLevel="0" collapsed="false">
      <c r="A267" s="18"/>
      <c r="B267" s="5"/>
      <c r="C267" s="5"/>
      <c r="D267" s="4"/>
      <c r="E267" s="4"/>
      <c r="F267" s="19" t="str">
        <f aca="false">IF(AND(D267="",E267=""),"",Boshlash!$B$4+SUM($D$5:D267)+SUM($E$5:E267))</f>
        <v/>
      </c>
      <c r="G267" s="5"/>
    </row>
    <row r="268" customFormat="false" ht="15" hidden="false" customHeight="false" outlineLevel="0" collapsed="false">
      <c r="A268" s="18"/>
      <c r="B268" s="5"/>
      <c r="C268" s="5"/>
      <c r="D268" s="4"/>
      <c r="E268" s="4"/>
      <c r="F268" s="19" t="str">
        <f aca="false">IF(AND(D268="",E268=""),"",Boshlash!$B$4+SUM($D$5:D268)+SUM($E$5:E268))</f>
        <v/>
      </c>
      <c r="G268" s="5"/>
    </row>
    <row r="269" customFormat="false" ht="15" hidden="false" customHeight="false" outlineLevel="0" collapsed="false">
      <c r="A269" s="18"/>
      <c r="B269" s="5"/>
      <c r="C269" s="5"/>
      <c r="D269" s="4"/>
      <c r="E269" s="4"/>
      <c r="F269" s="19" t="str">
        <f aca="false">IF(AND(D269="",E269=""),"",Boshlash!$B$4+SUM($D$5:D269)+SUM($E$5:E269))</f>
        <v/>
      </c>
      <c r="G269" s="5"/>
    </row>
    <row r="270" customFormat="false" ht="15" hidden="false" customHeight="false" outlineLevel="0" collapsed="false">
      <c r="A270" s="18"/>
      <c r="B270" s="5"/>
      <c r="C270" s="5"/>
      <c r="D270" s="4"/>
      <c r="E270" s="4"/>
      <c r="F270" s="19" t="str">
        <f aca="false">IF(AND(D270="",E270=""),"",Boshlash!$B$4+SUM($D$5:D270)+SUM($E$5:E270))</f>
        <v/>
      </c>
      <c r="G270" s="5"/>
    </row>
    <row r="271" customFormat="false" ht="15" hidden="false" customHeight="false" outlineLevel="0" collapsed="false">
      <c r="A271" s="18"/>
      <c r="B271" s="5"/>
      <c r="C271" s="5"/>
      <c r="D271" s="4"/>
      <c r="E271" s="4"/>
      <c r="F271" s="19" t="str">
        <f aca="false">IF(AND(D271="",E271=""),"",Boshlash!$B$4+SUM($D$5:D271)+SUM($E$5:E271))</f>
        <v/>
      </c>
      <c r="G271" s="5"/>
    </row>
    <row r="272" customFormat="false" ht="15" hidden="false" customHeight="false" outlineLevel="0" collapsed="false">
      <c r="A272" s="18"/>
      <c r="B272" s="5"/>
      <c r="C272" s="5"/>
      <c r="D272" s="4"/>
      <c r="E272" s="4"/>
      <c r="F272" s="19" t="str">
        <f aca="false">IF(AND(D272="",E272=""),"",Boshlash!$B$4+SUM($D$5:D272)+SUM($E$5:E272))</f>
        <v/>
      </c>
      <c r="G272" s="5"/>
    </row>
    <row r="273" customFormat="false" ht="15" hidden="false" customHeight="false" outlineLevel="0" collapsed="false">
      <c r="A273" s="18"/>
      <c r="B273" s="5"/>
      <c r="C273" s="5"/>
      <c r="D273" s="4"/>
      <c r="E273" s="4"/>
      <c r="F273" s="19" t="str">
        <f aca="false">IF(AND(D273="",E273=""),"",Boshlash!$B$4+SUM($D$5:D273)+SUM($E$5:E273))</f>
        <v/>
      </c>
      <c r="G273" s="5"/>
    </row>
    <row r="274" customFormat="false" ht="15" hidden="false" customHeight="false" outlineLevel="0" collapsed="false">
      <c r="A274" s="18"/>
      <c r="B274" s="5"/>
      <c r="C274" s="5"/>
      <c r="D274" s="4"/>
      <c r="E274" s="4"/>
      <c r="F274" s="19" t="str">
        <f aca="false">IF(AND(D274="",E274=""),"",Boshlash!$B$4+SUM($D$5:D274)+SUM($E$5:E274))</f>
        <v/>
      </c>
      <c r="G274" s="5"/>
    </row>
    <row r="275" customFormat="false" ht="15" hidden="false" customHeight="false" outlineLevel="0" collapsed="false">
      <c r="A275" s="18"/>
      <c r="B275" s="5"/>
      <c r="C275" s="5"/>
      <c r="D275" s="4"/>
      <c r="E275" s="4"/>
      <c r="F275" s="19" t="str">
        <f aca="false">IF(AND(D275="",E275=""),"",Boshlash!$B$4+SUM($D$5:D275)+SUM($E$5:E275))</f>
        <v/>
      </c>
      <c r="G275" s="5"/>
    </row>
    <row r="276" customFormat="false" ht="15" hidden="false" customHeight="false" outlineLevel="0" collapsed="false">
      <c r="A276" s="18"/>
      <c r="B276" s="5"/>
      <c r="C276" s="5"/>
      <c r="D276" s="4"/>
      <c r="E276" s="4"/>
      <c r="F276" s="19" t="str">
        <f aca="false">IF(AND(D276="",E276=""),"",Boshlash!$B$4+SUM($D$5:D276)+SUM($E$5:E276))</f>
        <v/>
      </c>
      <c r="G276" s="5"/>
    </row>
    <row r="277" customFormat="false" ht="15" hidden="false" customHeight="false" outlineLevel="0" collapsed="false">
      <c r="A277" s="18"/>
      <c r="B277" s="5"/>
      <c r="C277" s="5"/>
      <c r="D277" s="4"/>
      <c r="E277" s="4"/>
      <c r="F277" s="19" t="str">
        <f aca="false">IF(AND(D277="",E277=""),"",Boshlash!$B$4+SUM($D$5:D277)+SUM($E$5:E277))</f>
        <v/>
      </c>
      <c r="G277" s="5"/>
    </row>
    <row r="278" customFormat="false" ht="15" hidden="false" customHeight="false" outlineLevel="0" collapsed="false">
      <c r="A278" s="18"/>
      <c r="B278" s="5"/>
      <c r="C278" s="5"/>
      <c r="D278" s="4"/>
      <c r="E278" s="4"/>
      <c r="F278" s="19" t="str">
        <f aca="false">IF(AND(D278="",E278=""),"",Boshlash!$B$4+SUM($D$5:D278)+SUM($E$5:E278))</f>
        <v/>
      </c>
      <c r="G278" s="5"/>
    </row>
    <row r="279" customFormat="false" ht="15" hidden="false" customHeight="false" outlineLevel="0" collapsed="false">
      <c r="A279" s="18"/>
      <c r="B279" s="5"/>
      <c r="C279" s="5"/>
      <c r="D279" s="4"/>
      <c r="E279" s="4"/>
      <c r="F279" s="19" t="str">
        <f aca="false">IF(AND(D279="",E279=""),"",Boshlash!$B$4+SUM($D$5:D279)+SUM($E$5:E279))</f>
        <v/>
      </c>
      <c r="G279" s="5"/>
    </row>
    <row r="280" customFormat="false" ht="15" hidden="false" customHeight="false" outlineLevel="0" collapsed="false">
      <c r="A280" s="18"/>
      <c r="B280" s="5"/>
      <c r="C280" s="5"/>
      <c r="D280" s="4"/>
      <c r="E280" s="4"/>
      <c r="F280" s="19" t="str">
        <f aca="false">IF(AND(D280="",E280=""),"",Boshlash!$B$4+SUM($D$5:D280)+SUM($E$5:E280))</f>
        <v/>
      </c>
      <c r="G280" s="5"/>
    </row>
    <row r="281" customFormat="false" ht="15" hidden="false" customHeight="false" outlineLevel="0" collapsed="false">
      <c r="A281" s="18"/>
      <c r="B281" s="5"/>
      <c r="C281" s="5"/>
      <c r="D281" s="4"/>
      <c r="E281" s="4"/>
      <c r="F281" s="19" t="str">
        <f aca="false">IF(AND(D281="",E281=""),"",Boshlash!$B$4+SUM($D$5:D281)+SUM($E$5:E281))</f>
        <v/>
      </c>
      <c r="G281" s="5"/>
    </row>
    <row r="282" customFormat="false" ht="15" hidden="false" customHeight="false" outlineLevel="0" collapsed="false">
      <c r="A282" s="18"/>
      <c r="B282" s="5"/>
      <c r="C282" s="5"/>
      <c r="D282" s="4"/>
      <c r="E282" s="4"/>
      <c r="F282" s="19" t="str">
        <f aca="false">IF(AND(D282="",E282=""),"",Boshlash!$B$4+SUM($D$5:D282)+SUM($E$5:E282))</f>
        <v/>
      </c>
      <c r="G282" s="5"/>
    </row>
    <row r="283" customFormat="false" ht="15" hidden="false" customHeight="false" outlineLevel="0" collapsed="false">
      <c r="A283" s="18"/>
      <c r="B283" s="5"/>
      <c r="C283" s="5"/>
      <c r="D283" s="4"/>
      <c r="E283" s="4"/>
      <c r="F283" s="19" t="str">
        <f aca="false">IF(AND(D283="",E283=""),"",Boshlash!$B$4+SUM($D$5:D283)+SUM($E$5:E283))</f>
        <v/>
      </c>
      <c r="G283" s="5"/>
    </row>
    <row r="284" customFormat="false" ht="15" hidden="false" customHeight="false" outlineLevel="0" collapsed="false">
      <c r="A284" s="18"/>
      <c r="B284" s="5"/>
      <c r="C284" s="5"/>
      <c r="D284" s="4"/>
      <c r="E284" s="4"/>
      <c r="F284" s="19" t="str">
        <f aca="false">IF(AND(D284="",E284=""),"",Boshlash!$B$4+SUM($D$5:D284)+SUM($E$5:E284))</f>
        <v/>
      </c>
      <c r="G284" s="5"/>
    </row>
    <row r="285" customFormat="false" ht="15" hidden="false" customHeight="false" outlineLevel="0" collapsed="false">
      <c r="A285" s="18"/>
      <c r="B285" s="5"/>
      <c r="C285" s="5"/>
      <c r="D285" s="4"/>
      <c r="E285" s="4"/>
      <c r="F285" s="19" t="str">
        <f aca="false">IF(AND(D285="",E285=""),"",Boshlash!$B$4+SUM($D$5:D285)+SUM($E$5:E285))</f>
        <v/>
      </c>
      <c r="G285" s="5"/>
    </row>
    <row r="286" customFormat="false" ht="15" hidden="false" customHeight="false" outlineLevel="0" collapsed="false">
      <c r="A286" s="18"/>
      <c r="B286" s="5"/>
      <c r="C286" s="5"/>
      <c r="D286" s="4"/>
      <c r="E286" s="4"/>
      <c r="F286" s="19" t="str">
        <f aca="false">IF(AND(D286="",E286=""),"",Boshlash!$B$4+SUM($D$5:D286)+SUM($E$5:E286))</f>
        <v/>
      </c>
      <c r="G286" s="5"/>
    </row>
    <row r="287" customFormat="false" ht="15" hidden="false" customHeight="false" outlineLevel="0" collapsed="false">
      <c r="A287" s="18"/>
      <c r="B287" s="5"/>
      <c r="C287" s="5"/>
      <c r="D287" s="4"/>
      <c r="E287" s="4"/>
      <c r="F287" s="19" t="str">
        <f aca="false">IF(AND(D287="",E287=""),"",Boshlash!$B$4+SUM($D$5:D287)+SUM($E$5:E287))</f>
        <v/>
      </c>
      <c r="G287" s="5"/>
    </row>
    <row r="288" customFormat="false" ht="15" hidden="false" customHeight="false" outlineLevel="0" collapsed="false">
      <c r="A288" s="18"/>
      <c r="B288" s="5"/>
      <c r="C288" s="5"/>
      <c r="D288" s="4"/>
      <c r="E288" s="4"/>
      <c r="F288" s="19" t="str">
        <f aca="false">IF(AND(D288="",E288=""),"",Boshlash!$B$4+SUM($D$5:D288)+SUM($E$5:E288))</f>
        <v/>
      </c>
      <c r="G288" s="5"/>
    </row>
    <row r="289" customFormat="false" ht="15" hidden="false" customHeight="false" outlineLevel="0" collapsed="false">
      <c r="A289" s="18"/>
      <c r="B289" s="5"/>
      <c r="C289" s="5"/>
      <c r="D289" s="4"/>
      <c r="E289" s="4"/>
      <c r="F289" s="19" t="str">
        <f aca="false">IF(AND(D289="",E289=""),"",Boshlash!$B$4+SUM($D$5:D289)+SUM($E$5:E289))</f>
        <v/>
      </c>
      <c r="G289" s="5"/>
    </row>
    <row r="290" customFormat="false" ht="15" hidden="false" customHeight="false" outlineLevel="0" collapsed="false">
      <c r="A290" s="18"/>
      <c r="B290" s="5"/>
      <c r="C290" s="5"/>
      <c r="D290" s="4"/>
      <c r="E290" s="4"/>
      <c r="F290" s="19" t="str">
        <f aca="false">IF(AND(D290="",E290=""),"",Boshlash!$B$4+SUM($D$5:D290)+SUM($E$5:E290))</f>
        <v/>
      </c>
      <c r="G290" s="5"/>
    </row>
    <row r="291" customFormat="false" ht="15" hidden="false" customHeight="false" outlineLevel="0" collapsed="false">
      <c r="A291" s="18"/>
      <c r="B291" s="5"/>
      <c r="C291" s="5"/>
      <c r="D291" s="4"/>
      <c r="E291" s="4"/>
      <c r="F291" s="19" t="str">
        <f aca="false">IF(AND(D291="",E291=""),"",Boshlash!$B$4+SUM($D$5:D291)+SUM($E$5:E291))</f>
        <v/>
      </c>
      <c r="G291" s="5"/>
    </row>
    <row r="292" customFormat="false" ht="15" hidden="false" customHeight="false" outlineLevel="0" collapsed="false">
      <c r="A292" s="18"/>
      <c r="B292" s="5"/>
      <c r="C292" s="5"/>
      <c r="D292" s="4"/>
      <c r="E292" s="4"/>
      <c r="F292" s="19" t="str">
        <f aca="false">IF(AND(D292="",E292=""),"",Boshlash!$B$4+SUM($D$5:D292)+SUM($E$5:E292))</f>
        <v/>
      </c>
      <c r="G292" s="5"/>
    </row>
    <row r="293" customFormat="false" ht="15" hidden="false" customHeight="false" outlineLevel="0" collapsed="false">
      <c r="A293" s="18"/>
      <c r="B293" s="5"/>
      <c r="C293" s="5"/>
      <c r="D293" s="4"/>
      <c r="E293" s="4"/>
      <c r="F293" s="19" t="str">
        <f aca="false">IF(AND(D293="",E293=""),"",Boshlash!$B$4+SUM($D$5:D293)+SUM($E$5:E293))</f>
        <v/>
      </c>
      <c r="G293" s="5"/>
    </row>
    <row r="294" customFormat="false" ht="15" hidden="false" customHeight="false" outlineLevel="0" collapsed="false">
      <c r="A294" s="18"/>
      <c r="B294" s="5"/>
      <c r="C294" s="5"/>
      <c r="D294" s="4"/>
      <c r="E294" s="4"/>
      <c r="F294" s="19" t="str">
        <f aca="false">IF(AND(D294="",E294=""),"",Boshlash!$B$4+SUM($D$5:D294)+SUM($E$5:E294))</f>
        <v/>
      </c>
      <c r="G294" s="5"/>
    </row>
    <row r="295" customFormat="false" ht="15" hidden="false" customHeight="false" outlineLevel="0" collapsed="false">
      <c r="A295" s="18"/>
      <c r="B295" s="5"/>
      <c r="C295" s="5"/>
      <c r="D295" s="4"/>
      <c r="E295" s="4"/>
      <c r="F295" s="19" t="str">
        <f aca="false">IF(AND(D295="",E295=""),"",Boshlash!$B$4+SUM($D$5:D295)+SUM($E$5:E295))</f>
        <v/>
      </c>
      <c r="G295" s="5"/>
    </row>
    <row r="296" customFormat="false" ht="15" hidden="false" customHeight="false" outlineLevel="0" collapsed="false">
      <c r="A296" s="18"/>
      <c r="B296" s="5"/>
      <c r="C296" s="5"/>
      <c r="D296" s="4"/>
      <c r="E296" s="4"/>
      <c r="F296" s="19" t="str">
        <f aca="false">IF(AND(D296="",E296=""),"",Boshlash!$B$4+SUM($D$5:D296)+SUM($E$5:E296))</f>
        <v/>
      </c>
      <c r="G296" s="5"/>
    </row>
    <row r="297" customFormat="false" ht="15" hidden="false" customHeight="false" outlineLevel="0" collapsed="false">
      <c r="A297" s="18"/>
      <c r="B297" s="5"/>
      <c r="C297" s="5"/>
      <c r="D297" s="4"/>
      <c r="E297" s="4"/>
      <c r="F297" s="19" t="str">
        <f aca="false">IF(AND(D297="",E297=""),"",Boshlash!$B$4+SUM($D$5:D297)+SUM($E$5:E297))</f>
        <v/>
      </c>
      <c r="G297" s="5"/>
    </row>
    <row r="298" customFormat="false" ht="15" hidden="false" customHeight="false" outlineLevel="0" collapsed="false">
      <c r="A298" s="18"/>
      <c r="B298" s="5"/>
      <c r="C298" s="5"/>
      <c r="D298" s="4"/>
      <c r="E298" s="4"/>
      <c r="F298" s="19" t="str">
        <f aca="false">IF(AND(D298="",E298=""),"",Boshlash!$B$4+SUM($D$5:D298)+SUM($E$5:E298))</f>
        <v/>
      </c>
      <c r="G298" s="5"/>
    </row>
    <row r="299" customFormat="false" ht="15" hidden="false" customHeight="false" outlineLevel="0" collapsed="false">
      <c r="A299" s="18"/>
      <c r="B299" s="5"/>
      <c r="C299" s="5"/>
      <c r="D299" s="4"/>
      <c r="E299" s="4"/>
      <c r="F299" s="19" t="str">
        <f aca="false">IF(AND(D299="",E299=""),"",Boshlash!$B$4+SUM($D$5:D299)+SUM($E$5:E299))</f>
        <v/>
      </c>
      <c r="G299" s="5"/>
    </row>
    <row r="300" customFormat="false" ht="15" hidden="false" customHeight="false" outlineLevel="0" collapsed="false">
      <c r="A300" s="18"/>
      <c r="B300" s="5"/>
      <c r="C300" s="5"/>
      <c r="D300" s="4"/>
      <c r="E300" s="4"/>
      <c r="F300" s="19" t="str">
        <f aca="false">IF(AND(D300="",E300=""),"",Boshlash!$B$4+SUM($D$5:D300)+SUM($E$5:E300))</f>
        <v/>
      </c>
      <c r="G300" s="5"/>
    </row>
    <row r="301" customFormat="false" ht="15" hidden="false" customHeight="false" outlineLevel="0" collapsed="false">
      <c r="A301" s="18"/>
      <c r="B301" s="5"/>
      <c r="C301" s="5"/>
      <c r="D301" s="4"/>
      <c r="E301" s="4"/>
      <c r="F301" s="19" t="str">
        <f aca="false">IF(AND(D301="",E301=""),"",Boshlash!$B$4+SUM($D$5:D301)+SUM($E$5:E301))</f>
        <v/>
      </c>
      <c r="G301" s="5"/>
    </row>
    <row r="302" customFormat="false" ht="15" hidden="false" customHeight="false" outlineLevel="0" collapsed="false">
      <c r="A302" s="18"/>
      <c r="B302" s="5"/>
      <c r="C302" s="5"/>
      <c r="D302" s="4"/>
      <c r="E302" s="4"/>
      <c r="F302" s="19" t="str">
        <f aca="false">IF(AND(D302="",E302=""),"",Boshlash!$B$4+SUM($D$5:D302)+SUM($E$5:E302))</f>
        <v/>
      </c>
      <c r="G302" s="5"/>
    </row>
    <row r="303" customFormat="false" ht="15" hidden="false" customHeight="false" outlineLevel="0" collapsed="false">
      <c r="A303" s="18"/>
      <c r="B303" s="5"/>
      <c r="C303" s="5"/>
      <c r="D303" s="4"/>
      <c r="E303" s="4"/>
      <c r="F303" s="19" t="str">
        <f aca="false">IF(AND(D303="",E303=""),"",Boshlash!$B$4+SUM($D$5:D303)+SUM($E$5:E303))</f>
        <v/>
      </c>
      <c r="G303" s="5"/>
    </row>
    <row r="304" customFormat="false" ht="15" hidden="false" customHeight="false" outlineLevel="0" collapsed="false">
      <c r="A304" s="18"/>
      <c r="B304" s="5"/>
      <c r="C304" s="5"/>
      <c r="D304" s="4"/>
      <c r="E304" s="4"/>
      <c r="F304" s="19" t="str">
        <f aca="false">IF(AND(D304="",E304=""),"",Boshlash!$B$4+SUM($D$5:D304)+SUM($E$5:E304))</f>
        <v/>
      </c>
      <c r="G304" s="5"/>
    </row>
    <row r="305" customFormat="false" ht="15" hidden="false" customHeight="false" outlineLevel="0" collapsed="false">
      <c r="A305" s="18"/>
      <c r="B305" s="5"/>
      <c r="C305" s="5"/>
      <c r="D305" s="4"/>
      <c r="E305" s="4"/>
      <c r="F305" s="19" t="str">
        <f aca="false">IF(AND(D305="",E305=""),"",Boshlash!$B$4+SUM($D$5:D305)+SUM($E$5:E305))</f>
        <v/>
      </c>
      <c r="G305" s="5"/>
    </row>
    <row r="306" customFormat="false" ht="15" hidden="false" customHeight="false" outlineLevel="0" collapsed="false">
      <c r="A306" s="18"/>
      <c r="B306" s="5"/>
      <c r="C306" s="5"/>
      <c r="D306" s="4"/>
      <c r="E306" s="4"/>
      <c r="F306" s="19" t="str">
        <f aca="false">IF(AND(D306="",E306=""),"",Boshlash!$B$4+SUM($D$5:D306)+SUM($E$5:E306))</f>
        <v/>
      </c>
      <c r="G306" s="5"/>
    </row>
    <row r="307" customFormat="false" ht="15" hidden="false" customHeight="false" outlineLevel="0" collapsed="false">
      <c r="A307" s="18"/>
      <c r="B307" s="5"/>
      <c r="C307" s="5"/>
      <c r="D307" s="4"/>
      <c r="E307" s="4"/>
      <c r="F307" s="19" t="str">
        <f aca="false">IF(AND(D307="",E307=""),"",Boshlash!$B$4+SUM($D$5:D307)+SUM($E$5:E307))</f>
        <v/>
      </c>
      <c r="G307" s="5"/>
    </row>
    <row r="308" customFormat="false" ht="15" hidden="false" customHeight="false" outlineLevel="0" collapsed="false">
      <c r="A308" s="18"/>
      <c r="B308" s="5"/>
      <c r="C308" s="5"/>
      <c r="D308" s="4"/>
      <c r="E308" s="4"/>
      <c r="F308" s="19" t="str">
        <f aca="false">IF(AND(D308="",E308=""),"",Boshlash!$B$4+SUM($D$5:D308)+SUM($E$5:E308))</f>
        <v/>
      </c>
      <c r="G308" s="5"/>
    </row>
    <row r="309" customFormat="false" ht="15" hidden="false" customHeight="false" outlineLevel="0" collapsed="false">
      <c r="A309" s="18"/>
      <c r="B309" s="5"/>
      <c r="C309" s="5"/>
      <c r="D309" s="4"/>
      <c r="E309" s="4"/>
      <c r="F309" s="19" t="str">
        <f aca="false">IF(AND(D309="",E309=""),"",Boshlash!$B$4+SUM($D$5:D309)+SUM($E$5:E309))</f>
        <v/>
      </c>
      <c r="G309" s="5"/>
    </row>
    <row r="310" customFormat="false" ht="15" hidden="false" customHeight="false" outlineLevel="0" collapsed="false">
      <c r="A310" s="18"/>
      <c r="B310" s="5"/>
      <c r="C310" s="5"/>
      <c r="D310" s="4"/>
      <c r="E310" s="4"/>
      <c r="F310" s="19" t="str">
        <f aca="false">IF(AND(D310="",E310=""),"",Boshlash!$B$4+SUM($D$5:D310)+SUM($E$5:E310))</f>
        <v/>
      </c>
      <c r="G310" s="5"/>
    </row>
    <row r="311" customFormat="false" ht="15" hidden="false" customHeight="false" outlineLevel="0" collapsed="false">
      <c r="A311" s="18"/>
      <c r="B311" s="5"/>
      <c r="C311" s="5"/>
      <c r="D311" s="4"/>
      <c r="E311" s="4"/>
      <c r="F311" s="19" t="str">
        <f aca="false">IF(AND(D311="",E311=""),"",Boshlash!$B$4+SUM($D$5:D311)+SUM($E$5:E311))</f>
        <v/>
      </c>
      <c r="G311" s="5"/>
    </row>
    <row r="312" customFormat="false" ht="15" hidden="false" customHeight="false" outlineLevel="0" collapsed="false">
      <c r="A312" s="18"/>
      <c r="B312" s="5"/>
      <c r="C312" s="5"/>
      <c r="D312" s="4"/>
      <c r="E312" s="4"/>
      <c r="F312" s="19" t="str">
        <f aca="false">IF(AND(D312="",E312=""),"",Boshlash!$B$4+SUM($D$5:D312)+SUM($E$5:E312))</f>
        <v/>
      </c>
      <c r="G312" s="5"/>
    </row>
    <row r="313" customFormat="false" ht="15" hidden="false" customHeight="false" outlineLevel="0" collapsed="false">
      <c r="A313" s="18"/>
      <c r="B313" s="5"/>
      <c r="C313" s="5"/>
      <c r="D313" s="4"/>
      <c r="E313" s="4"/>
      <c r="F313" s="19" t="str">
        <f aca="false">IF(AND(D313="",E313=""),"",Boshlash!$B$4+SUM($D$5:D313)+SUM($E$5:E313))</f>
        <v/>
      </c>
      <c r="G313" s="5"/>
    </row>
    <row r="314" customFormat="false" ht="15" hidden="false" customHeight="false" outlineLevel="0" collapsed="false">
      <c r="A314" s="18"/>
      <c r="B314" s="5"/>
      <c r="C314" s="5"/>
      <c r="D314" s="4"/>
      <c r="E314" s="4"/>
      <c r="F314" s="19" t="str">
        <f aca="false">IF(AND(D314="",E314=""),"",Boshlash!$B$4+SUM($D$5:D314)+SUM($E$5:E314))</f>
        <v/>
      </c>
      <c r="G314" s="5"/>
    </row>
    <row r="315" customFormat="false" ht="15" hidden="false" customHeight="false" outlineLevel="0" collapsed="false">
      <c r="A315" s="18"/>
      <c r="B315" s="5"/>
      <c r="C315" s="5"/>
      <c r="D315" s="4"/>
      <c r="E315" s="4"/>
      <c r="F315" s="19" t="str">
        <f aca="false">IF(AND(D315="",E315=""),"",Boshlash!$B$4+SUM($D$5:D315)+SUM($E$5:E315))</f>
        <v/>
      </c>
      <c r="G315" s="5"/>
    </row>
    <row r="316" customFormat="false" ht="15" hidden="false" customHeight="false" outlineLevel="0" collapsed="false">
      <c r="A316" s="18"/>
      <c r="B316" s="5"/>
      <c r="C316" s="5"/>
      <c r="D316" s="4"/>
      <c r="E316" s="4"/>
      <c r="F316" s="19" t="str">
        <f aca="false">IF(AND(D316="",E316=""),"",Boshlash!$B$4+SUM($D$5:D316)+SUM($E$5:E316))</f>
        <v/>
      </c>
      <c r="G316" s="5"/>
    </row>
    <row r="317" customFormat="false" ht="15" hidden="false" customHeight="false" outlineLevel="0" collapsed="false">
      <c r="A317" s="18"/>
      <c r="B317" s="5"/>
      <c r="C317" s="5"/>
      <c r="D317" s="4"/>
      <c r="E317" s="4"/>
      <c r="F317" s="19" t="str">
        <f aca="false">IF(AND(D317="",E317=""),"",Boshlash!$B$4+SUM($D$5:D317)+SUM($E$5:E317))</f>
        <v/>
      </c>
      <c r="G317" s="5"/>
    </row>
    <row r="318" customFormat="false" ht="15" hidden="false" customHeight="false" outlineLevel="0" collapsed="false">
      <c r="A318" s="18"/>
      <c r="B318" s="5"/>
      <c r="C318" s="5"/>
      <c r="D318" s="4"/>
      <c r="E318" s="4"/>
      <c r="F318" s="19" t="str">
        <f aca="false">IF(AND(D318="",E318=""),"",Boshlash!$B$4+SUM($D$5:D318)+SUM($E$5:E318))</f>
        <v/>
      </c>
      <c r="G318" s="5"/>
    </row>
    <row r="319" customFormat="false" ht="15" hidden="false" customHeight="false" outlineLevel="0" collapsed="false">
      <c r="A319" s="18"/>
      <c r="B319" s="5"/>
      <c r="C319" s="5"/>
      <c r="D319" s="4"/>
      <c r="E319" s="4"/>
      <c r="F319" s="19" t="str">
        <f aca="false">IF(AND(D319="",E319=""),"",Boshlash!$B$4+SUM($D$5:D319)+SUM($E$5:E319))</f>
        <v/>
      </c>
      <c r="G319" s="5"/>
    </row>
    <row r="320" customFormat="false" ht="15" hidden="false" customHeight="false" outlineLevel="0" collapsed="false">
      <c r="A320" s="18"/>
      <c r="B320" s="5"/>
      <c r="C320" s="5"/>
      <c r="D320" s="4"/>
      <c r="E320" s="4"/>
      <c r="F320" s="19" t="str">
        <f aca="false">IF(AND(D320="",E320=""),"",Boshlash!$B$4+SUM($D$5:D320)+SUM($E$5:E320))</f>
        <v/>
      </c>
      <c r="G320" s="5"/>
    </row>
    <row r="321" customFormat="false" ht="15" hidden="false" customHeight="false" outlineLevel="0" collapsed="false">
      <c r="A321" s="18"/>
      <c r="B321" s="5"/>
      <c r="C321" s="5"/>
      <c r="D321" s="4"/>
      <c r="E321" s="4"/>
      <c r="F321" s="19" t="str">
        <f aca="false">IF(AND(D321="",E321=""),"",Boshlash!$B$4+SUM($D$5:D321)+SUM($E$5:E321))</f>
        <v/>
      </c>
      <c r="G321" s="5"/>
    </row>
    <row r="322" customFormat="false" ht="15" hidden="false" customHeight="false" outlineLevel="0" collapsed="false">
      <c r="A322" s="18"/>
      <c r="B322" s="5"/>
      <c r="C322" s="5"/>
      <c r="D322" s="4"/>
      <c r="E322" s="4"/>
      <c r="F322" s="19" t="str">
        <f aca="false">IF(AND(D322="",E322=""),"",Boshlash!$B$4+SUM($D$5:D322)+SUM($E$5:E322))</f>
        <v/>
      </c>
      <c r="G322" s="5"/>
    </row>
    <row r="323" customFormat="false" ht="15" hidden="false" customHeight="false" outlineLevel="0" collapsed="false">
      <c r="A323" s="18"/>
      <c r="B323" s="5"/>
      <c r="C323" s="5"/>
      <c r="D323" s="4"/>
      <c r="E323" s="4"/>
      <c r="F323" s="19" t="str">
        <f aca="false">IF(AND(D323="",E323=""),"",Boshlash!$B$4+SUM($D$5:D323)+SUM($E$5:E323))</f>
        <v/>
      </c>
      <c r="G323" s="5"/>
    </row>
    <row r="324" customFormat="false" ht="15" hidden="false" customHeight="false" outlineLevel="0" collapsed="false">
      <c r="A324" s="18"/>
      <c r="B324" s="5"/>
      <c r="C324" s="5"/>
      <c r="D324" s="4"/>
      <c r="E324" s="4"/>
      <c r="F324" s="19" t="str">
        <f aca="false">IF(AND(D324="",E324=""),"",Boshlash!$B$4+SUM($D$5:D324)+SUM($E$5:E324))</f>
        <v/>
      </c>
      <c r="G324" s="5"/>
    </row>
    <row r="325" customFormat="false" ht="15" hidden="false" customHeight="false" outlineLevel="0" collapsed="false">
      <c r="A325" s="18"/>
      <c r="B325" s="5"/>
      <c r="C325" s="5"/>
      <c r="D325" s="4"/>
      <c r="E325" s="4"/>
      <c r="F325" s="19" t="str">
        <f aca="false">IF(AND(D325="",E325=""),"",Boshlash!$B$4+SUM($D$5:D325)+SUM($E$5:E325))</f>
        <v/>
      </c>
      <c r="G325" s="5"/>
    </row>
    <row r="326" customFormat="false" ht="15" hidden="false" customHeight="false" outlineLevel="0" collapsed="false">
      <c r="A326" s="18"/>
      <c r="B326" s="5"/>
      <c r="C326" s="5"/>
      <c r="D326" s="4"/>
      <c r="E326" s="4"/>
      <c r="F326" s="19" t="str">
        <f aca="false">IF(AND(D326="",E326=""),"",Boshlash!$B$4+SUM($D$5:D326)+SUM($E$5:E326))</f>
        <v/>
      </c>
      <c r="G326" s="5"/>
    </row>
    <row r="327" customFormat="false" ht="15" hidden="false" customHeight="false" outlineLevel="0" collapsed="false">
      <c r="A327" s="18"/>
      <c r="B327" s="5"/>
      <c r="C327" s="5"/>
      <c r="D327" s="4"/>
      <c r="E327" s="4"/>
      <c r="F327" s="19" t="str">
        <f aca="false">IF(AND(D327="",E327=""),"",Boshlash!$B$4+SUM($D$5:D327)+SUM($E$5:E327))</f>
        <v/>
      </c>
      <c r="G327" s="5"/>
    </row>
    <row r="328" customFormat="false" ht="15" hidden="false" customHeight="false" outlineLevel="0" collapsed="false">
      <c r="A328" s="18"/>
      <c r="B328" s="5"/>
      <c r="C328" s="5"/>
      <c r="D328" s="4"/>
      <c r="E328" s="4"/>
      <c r="F328" s="19" t="str">
        <f aca="false">IF(AND(D328="",E328=""),"",Boshlash!$B$4+SUM($D$5:D328)+SUM($E$5:E328))</f>
        <v/>
      </c>
      <c r="G328" s="5"/>
    </row>
    <row r="329" customFormat="false" ht="15" hidden="false" customHeight="false" outlineLevel="0" collapsed="false">
      <c r="A329" s="18"/>
      <c r="B329" s="5"/>
      <c r="C329" s="5"/>
      <c r="D329" s="4"/>
      <c r="E329" s="4"/>
      <c r="F329" s="19" t="str">
        <f aca="false">IF(AND(D329="",E329=""),"",Boshlash!$B$4+SUM($D$5:D329)+SUM($E$5:E329))</f>
        <v/>
      </c>
      <c r="G329" s="5"/>
    </row>
    <row r="330" customFormat="false" ht="15" hidden="false" customHeight="false" outlineLevel="0" collapsed="false">
      <c r="A330" s="18"/>
      <c r="B330" s="5"/>
      <c r="C330" s="5"/>
      <c r="D330" s="4"/>
      <c r="E330" s="4"/>
      <c r="F330" s="19" t="str">
        <f aca="false">IF(AND(D330="",E330=""),"",Boshlash!$B$4+SUM($D$5:D330)+SUM($E$5:E330))</f>
        <v/>
      </c>
      <c r="G330" s="5"/>
    </row>
    <row r="331" customFormat="false" ht="15" hidden="false" customHeight="false" outlineLevel="0" collapsed="false">
      <c r="A331" s="18"/>
      <c r="B331" s="5"/>
      <c r="C331" s="5"/>
      <c r="D331" s="4"/>
      <c r="E331" s="4"/>
      <c r="F331" s="19" t="str">
        <f aca="false">IF(AND(D331="",E331=""),"",Boshlash!$B$4+SUM($D$5:D331)+SUM($E$5:E331))</f>
        <v/>
      </c>
      <c r="G331" s="5"/>
    </row>
    <row r="332" customFormat="false" ht="15" hidden="false" customHeight="false" outlineLevel="0" collapsed="false">
      <c r="A332" s="18"/>
      <c r="B332" s="5"/>
      <c r="C332" s="5"/>
      <c r="D332" s="4"/>
      <c r="E332" s="4"/>
      <c r="F332" s="19" t="str">
        <f aca="false">IF(AND(D332="",E332=""),"",Boshlash!$B$4+SUM($D$5:D332)+SUM($E$5:E332))</f>
        <v/>
      </c>
      <c r="G332" s="5"/>
    </row>
    <row r="333" customFormat="false" ht="15" hidden="false" customHeight="false" outlineLevel="0" collapsed="false">
      <c r="A333" s="18"/>
      <c r="B333" s="5"/>
      <c r="C333" s="5"/>
      <c r="D333" s="4"/>
      <c r="E333" s="4"/>
      <c r="F333" s="19" t="str">
        <f aca="false">IF(AND(D333="",E333=""),"",Boshlash!$B$4+SUM($D$5:D333)+SUM($E$5:E333))</f>
        <v/>
      </c>
      <c r="G333" s="5"/>
    </row>
    <row r="334" customFormat="false" ht="15" hidden="false" customHeight="false" outlineLevel="0" collapsed="false">
      <c r="A334" s="18"/>
      <c r="B334" s="5"/>
      <c r="C334" s="5"/>
      <c r="D334" s="4"/>
      <c r="E334" s="4"/>
      <c r="F334" s="19" t="str">
        <f aca="false">IF(AND(D334="",E334=""),"",Boshlash!$B$4+SUM($D$5:D334)+SUM($E$5:E334))</f>
        <v/>
      </c>
      <c r="G334" s="5"/>
    </row>
    <row r="335" customFormat="false" ht="15" hidden="false" customHeight="false" outlineLevel="0" collapsed="false">
      <c r="A335" s="18"/>
      <c r="B335" s="5"/>
      <c r="C335" s="5"/>
      <c r="D335" s="4"/>
      <c r="E335" s="4"/>
      <c r="F335" s="19" t="str">
        <f aca="false">IF(AND(D335="",E335=""),"",Boshlash!$B$4+SUM($D$5:D335)+SUM($E$5:E335))</f>
        <v/>
      </c>
      <c r="G335" s="5"/>
    </row>
    <row r="336" customFormat="false" ht="15" hidden="false" customHeight="false" outlineLevel="0" collapsed="false">
      <c r="A336" s="18"/>
      <c r="B336" s="5"/>
      <c r="C336" s="5"/>
      <c r="D336" s="4"/>
      <c r="E336" s="4"/>
      <c r="F336" s="19" t="str">
        <f aca="false">IF(AND(D336="",E336=""),"",Boshlash!$B$4+SUM($D$5:D336)+SUM($E$5:E336))</f>
        <v/>
      </c>
      <c r="G336" s="5"/>
    </row>
    <row r="337" customFormat="false" ht="15" hidden="false" customHeight="false" outlineLevel="0" collapsed="false">
      <c r="A337" s="18"/>
      <c r="B337" s="5"/>
      <c r="C337" s="5"/>
      <c r="D337" s="4"/>
      <c r="E337" s="4"/>
      <c r="F337" s="19" t="str">
        <f aca="false">IF(AND(D337="",E337=""),"",Boshlash!$B$4+SUM($D$5:D337)+SUM($E$5:E337))</f>
        <v/>
      </c>
      <c r="G337" s="5"/>
    </row>
    <row r="338" customFormat="false" ht="15" hidden="false" customHeight="false" outlineLevel="0" collapsed="false">
      <c r="A338" s="18"/>
      <c r="B338" s="5"/>
      <c r="C338" s="5"/>
      <c r="D338" s="4"/>
      <c r="E338" s="4"/>
      <c r="F338" s="19" t="str">
        <f aca="false">IF(AND(D338="",E338=""),"",Boshlash!$B$4+SUM($D$5:D338)+SUM($E$5:E338))</f>
        <v/>
      </c>
      <c r="G338" s="5"/>
    </row>
    <row r="339" customFormat="false" ht="15" hidden="false" customHeight="false" outlineLevel="0" collapsed="false">
      <c r="A339" s="18"/>
      <c r="B339" s="5"/>
      <c r="C339" s="5"/>
      <c r="D339" s="4"/>
      <c r="E339" s="4"/>
      <c r="F339" s="19" t="str">
        <f aca="false">IF(AND(D339="",E339=""),"",Boshlash!$B$4+SUM($D$5:D339)+SUM($E$5:E339))</f>
        <v/>
      </c>
      <c r="G339" s="5"/>
    </row>
    <row r="340" customFormat="false" ht="15" hidden="false" customHeight="false" outlineLevel="0" collapsed="false">
      <c r="A340" s="18"/>
      <c r="B340" s="5"/>
      <c r="C340" s="5"/>
      <c r="D340" s="4"/>
      <c r="E340" s="4"/>
      <c r="F340" s="19" t="str">
        <f aca="false">IF(AND(D340="",E340=""),"",Boshlash!$B$4+SUM($D$5:D340)+SUM($E$5:E340))</f>
        <v/>
      </c>
      <c r="G340" s="5"/>
    </row>
    <row r="341" customFormat="false" ht="15" hidden="false" customHeight="false" outlineLevel="0" collapsed="false">
      <c r="A341" s="18"/>
      <c r="B341" s="5"/>
      <c r="C341" s="5"/>
      <c r="D341" s="4"/>
      <c r="E341" s="4"/>
      <c r="F341" s="19" t="str">
        <f aca="false">IF(AND(D341="",E341=""),"",Boshlash!$B$4+SUM($D$5:D341)+SUM($E$5:E341))</f>
        <v/>
      </c>
      <c r="G341" s="5"/>
    </row>
    <row r="342" customFormat="false" ht="15" hidden="false" customHeight="false" outlineLevel="0" collapsed="false">
      <c r="A342" s="18"/>
      <c r="B342" s="5"/>
      <c r="C342" s="5"/>
      <c r="D342" s="4"/>
      <c r="E342" s="4"/>
      <c r="F342" s="19" t="str">
        <f aca="false">IF(AND(D342="",E342=""),"",Boshlash!$B$4+SUM($D$5:D342)+SUM($E$5:E342))</f>
        <v/>
      </c>
      <c r="G342" s="5"/>
    </row>
    <row r="343" customFormat="false" ht="15" hidden="false" customHeight="false" outlineLevel="0" collapsed="false">
      <c r="A343" s="18"/>
      <c r="B343" s="5"/>
      <c r="C343" s="5"/>
      <c r="D343" s="4"/>
      <c r="E343" s="4"/>
      <c r="F343" s="19" t="str">
        <f aca="false">IF(AND(D343="",E343=""),"",Boshlash!$B$4+SUM($D$5:D343)+SUM($E$5:E343))</f>
        <v/>
      </c>
      <c r="G343" s="5"/>
    </row>
    <row r="344" customFormat="false" ht="15" hidden="false" customHeight="false" outlineLevel="0" collapsed="false">
      <c r="A344" s="18"/>
      <c r="B344" s="5"/>
      <c r="C344" s="5"/>
      <c r="D344" s="4"/>
      <c r="E344" s="4"/>
      <c r="F344" s="19" t="str">
        <f aca="false">IF(AND(D344="",E344=""),"",Boshlash!$B$4+SUM($D$5:D344)+SUM($E$5:E344))</f>
        <v/>
      </c>
      <c r="G344" s="5"/>
    </row>
    <row r="345" customFormat="false" ht="15" hidden="false" customHeight="false" outlineLevel="0" collapsed="false">
      <c r="A345" s="18"/>
      <c r="B345" s="5"/>
      <c r="C345" s="5"/>
      <c r="D345" s="4"/>
      <c r="E345" s="4"/>
      <c r="F345" s="19" t="str">
        <f aca="false">IF(AND(D345="",E345=""),"",Boshlash!$B$4+SUM($D$5:D345)+SUM($E$5:E345))</f>
        <v/>
      </c>
      <c r="G345" s="5"/>
    </row>
    <row r="346" customFormat="false" ht="15" hidden="false" customHeight="false" outlineLevel="0" collapsed="false">
      <c r="A346" s="18"/>
      <c r="B346" s="5"/>
      <c r="C346" s="5"/>
      <c r="D346" s="4"/>
      <c r="E346" s="4"/>
      <c r="F346" s="19" t="str">
        <f aca="false">IF(AND(D346="",E346=""),"",Boshlash!$B$4+SUM($D$5:D346)+SUM($E$5:E346))</f>
        <v/>
      </c>
      <c r="G346" s="5"/>
    </row>
    <row r="347" customFormat="false" ht="15" hidden="false" customHeight="false" outlineLevel="0" collapsed="false">
      <c r="A347" s="18"/>
      <c r="B347" s="5"/>
      <c r="C347" s="5"/>
      <c r="D347" s="4"/>
      <c r="E347" s="4"/>
      <c r="F347" s="19" t="str">
        <f aca="false">IF(AND(D347="",E347=""),"",Boshlash!$B$4+SUM($D$5:D347)+SUM($E$5:E347))</f>
        <v/>
      </c>
      <c r="G347" s="5"/>
    </row>
    <row r="348" customFormat="false" ht="15" hidden="false" customHeight="false" outlineLevel="0" collapsed="false">
      <c r="A348" s="18"/>
      <c r="B348" s="5"/>
      <c r="C348" s="5"/>
      <c r="D348" s="4"/>
      <c r="E348" s="4"/>
      <c r="F348" s="19" t="str">
        <f aca="false">IF(AND(D348="",E348=""),"",Boshlash!$B$4+SUM($D$5:D348)+SUM($E$5:E348))</f>
        <v/>
      </c>
      <c r="G348" s="5"/>
    </row>
    <row r="349" customFormat="false" ht="15" hidden="false" customHeight="false" outlineLevel="0" collapsed="false">
      <c r="A349" s="18"/>
      <c r="B349" s="5"/>
      <c r="C349" s="5"/>
      <c r="D349" s="4"/>
      <c r="E349" s="4"/>
      <c r="F349" s="19" t="str">
        <f aca="false">IF(AND(D349="",E349=""),"",Boshlash!$B$4+SUM($D$5:D349)+SUM($E$5:E349))</f>
        <v/>
      </c>
      <c r="G349" s="5"/>
    </row>
    <row r="350" customFormat="false" ht="15" hidden="false" customHeight="false" outlineLevel="0" collapsed="false">
      <c r="A350" s="18"/>
      <c r="B350" s="5"/>
      <c r="C350" s="5"/>
      <c r="D350" s="4"/>
      <c r="E350" s="4"/>
      <c r="F350" s="19" t="str">
        <f aca="false">IF(AND(D350="",E350=""),"",Boshlash!$B$4+SUM($D$5:D350)+SUM($E$5:E350))</f>
        <v/>
      </c>
      <c r="G350" s="5"/>
    </row>
    <row r="351" customFormat="false" ht="15" hidden="false" customHeight="false" outlineLevel="0" collapsed="false">
      <c r="A351" s="18"/>
      <c r="B351" s="5"/>
      <c r="C351" s="5"/>
      <c r="D351" s="4"/>
      <c r="E351" s="4"/>
      <c r="F351" s="19" t="str">
        <f aca="false">IF(AND(D351="",E351=""),"",Boshlash!$B$4+SUM($D$5:D351)+SUM($E$5:E351))</f>
        <v/>
      </c>
      <c r="G351" s="5"/>
    </row>
    <row r="352" customFormat="false" ht="15" hidden="false" customHeight="false" outlineLevel="0" collapsed="false">
      <c r="A352" s="18"/>
      <c r="B352" s="5"/>
      <c r="C352" s="5"/>
      <c r="D352" s="4"/>
      <c r="E352" s="4"/>
      <c r="F352" s="19" t="str">
        <f aca="false">IF(AND(D352="",E352=""),"",Boshlash!$B$4+SUM($D$5:D352)+SUM($E$5:E352))</f>
        <v/>
      </c>
      <c r="G352" s="5"/>
    </row>
    <row r="353" customFormat="false" ht="15" hidden="false" customHeight="false" outlineLevel="0" collapsed="false">
      <c r="A353" s="18"/>
      <c r="B353" s="5"/>
      <c r="C353" s="5"/>
      <c r="D353" s="4"/>
      <c r="E353" s="4"/>
      <c r="F353" s="19" t="str">
        <f aca="false">IF(AND(D353="",E353=""),"",Boshlash!$B$4+SUM($D$5:D353)+SUM($E$5:E353))</f>
        <v/>
      </c>
      <c r="G353" s="5"/>
    </row>
    <row r="354" customFormat="false" ht="15" hidden="false" customHeight="false" outlineLevel="0" collapsed="false">
      <c r="A354" s="18"/>
      <c r="B354" s="5"/>
      <c r="C354" s="5"/>
      <c r="D354" s="4"/>
      <c r="E354" s="4"/>
      <c r="F354" s="19" t="str">
        <f aca="false">IF(AND(D354="",E354=""),"",Boshlash!$B$4+SUM($D$5:D354)+SUM($E$5:E354))</f>
        <v/>
      </c>
      <c r="G354" s="5"/>
    </row>
    <row r="355" customFormat="false" ht="15" hidden="false" customHeight="false" outlineLevel="0" collapsed="false">
      <c r="A355" s="18"/>
      <c r="B355" s="5"/>
      <c r="C355" s="5"/>
      <c r="D355" s="4"/>
      <c r="E355" s="4"/>
      <c r="F355" s="19" t="str">
        <f aca="false">IF(AND(D355="",E355=""),"",Boshlash!$B$4+SUM($D$5:D355)+SUM($E$5:E355))</f>
        <v/>
      </c>
      <c r="G355" s="5"/>
    </row>
    <row r="356" customFormat="false" ht="15" hidden="false" customHeight="false" outlineLevel="0" collapsed="false">
      <c r="A356" s="18"/>
      <c r="B356" s="5"/>
      <c r="C356" s="5"/>
      <c r="D356" s="4"/>
      <c r="E356" s="4"/>
      <c r="F356" s="19" t="str">
        <f aca="false">IF(AND(D356="",E356=""),"",Boshlash!$B$4+SUM($D$5:D356)+SUM($E$5:E356))</f>
        <v/>
      </c>
      <c r="G356" s="5"/>
    </row>
    <row r="357" customFormat="false" ht="15" hidden="false" customHeight="false" outlineLevel="0" collapsed="false">
      <c r="A357" s="18"/>
      <c r="B357" s="5"/>
      <c r="C357" s="5"/>
      <c r="D357" s="4"/>
      <c r="E357" s="4"/>
      <c r="F357" s="19" t="str">
        <f aca="false">IF(AND(D357="",E357=""),"",Boshlash!$B$4+SUM($D$5:D357)+SUM($E$5:E357))</f>
        <v/>
      </c>
      <c r="G357" s="5"/>
    </row>
    <row r="358" customFormat="false" ht="15" hidden="false" customHeight="false" outlineLevel="0" collapsed="false">
      <c r="A358" s="18"/>
      <c r="B358" s="5"/>
      <c r="C358" s="5"/>
      <c r="D358" s="4"/>
      <c r="E358" s="4"/>
      <c r="F358" s="19" t="str">
        <f aca="false">IF(AND(D358="",E358=""),"",Boshlash!$B$4+SUM($D$5:D358)+SUM($E$5:E358))</f>
        <v/>
      </c>
      <c r="G358" s="5"/>
    </row>
    <row r="359" customFormat="false" ht="15" hidden="false" customHeight="false" outlineLevel="0" collapsed="false">
      <c r="A359" s="18"/>
      <c r="B359" s="5"/>
      <c r="C359" s="5"/>
      <c r="D359" s="4"/>
      <c r="E359" s="4"/>
      <c r="F359" s="19" t="str">
        <f aca="false">IF(AND(D359="",E359=""),"",Boshlash!$B$4+SUM($D$5:D359)+SUM($E$5:E359))</f>
        <v/>
      </c>
      <c r="G359" s="5"/>
    </row>
    <row r="360" customFormat="false" ht="15" hidden="false" customHeight="false" outlineLevel="0" collapsed="false">
      <c r="A360" s="18"/>
      <c r="B360" s="5"/>
      <c r="C360" s="5"/>
      <c r="D360" s="4"/>
      <c r="E360" s="4"/>
      <c r="F360" s="19" t="str">
        <f aca="false">IF(AND(D360="",E360=""),"",Boshlash!$B$4+SUM($D$5:D360)+SUM($E$5:E360))</f>
        <v/>
      </c>
      <c r="G360" s="5"/>
    </row>
    <row r="361" customFormat="false" ht="15" hidden="false" customHeight="false" outlineLevel="0" collapsed="false">
      <c r="A361" s="18"/>
      <c r="B361" s="5"/>
      <c r="C361" s="5"/>
      <c r="D361" s="4"/>
      <c r="E361" s="4"/>
      <c r="F361" s="19" t="str">
        <f aca="false">IF(AND(D361="",E361=""),"",Boshlash!$B$4+SUM($D$5:D361)+SUM($E$5:E361))</f>
        <v/>
      </c>
      <c r="G361" s="5"/>
    </row>
    <row r="362" customFormat="false" ht="15" hidden="false" customHeight="false" outlineLevel="0" collapsed="false">
      <c r="A362" s="18"/>
      <c r="B362" s="5"/>
      <c r="C362" s="5"/>
      <c r="D362" s="4"/>
      <c r="E362" s="4"/>
      <c r="F362" s="19" t="str">
        <f aca="false">IF(AND(D362="",E362=""),"",Boshlash!$B$4+SUM($D$5:D362)+SUM($E$5:E362))</f>
        <v/>
      </c>
      <c r="G362" s="5"/>
    </row>
    <row r="363" customFormat="false" ht="15" hidden="false" customHeight="false" outlineLevel="0" collapsed="false">
      <c r="A363" s="18"/>
      <c r="B363" s="5"/>
      <c r="C363" s="5"/>
      <c r="D363" s="4"/>
      <c r="E363" s="4"/>
      <c r="F363" s="19" t="str">
        <f aca="false">IF(AND(D363="",E363=""),"",Boshlash!$B$4+SUM($D$5:D363)+SUM($E$5:E363))</f>
        <v/>
      </c>
      <c r="G363" s="5"/>
    </row>
    <row r="364" customFormat="false" ht="15" hidden="false" customHeight="false" outlineLevel="0" collapsed="false">
      <c r="A364" s="18"/>
      <c r="B364" s="5"/>
      <c r="C364" s="5"/>
      <c r="D364" s="4"/>
      <c r="E364" s="4"/>
      <c r="F364" s="19" t="str">
        <f aca="false">IF(AND(D364="",E364=""),"",Boshlash!$B$4+SUM($D$5:D364)+SUM($E$5:E364))</f>
        <v/>
      </c>
      <c r="G364" s="5"/>
    </row>
    <row r="365" customFormat="false" ht="15" hidden="false" customHeight="false" outlineLevel="0" collapsed="false">
      <c r="A365" s="18"/>
      <c r="B365" s="5"/>
      <c r="C365" s="5"/>
      <c r="D365" s="4"/>
      <c r="E365" s="4"/>
      <c r="F365" s="19" t="str">
        <f aca="false">IF(AND(D365="",E365=""),"",Boshlash!$B$4+SUM($D$5:D365)+SUM($E$5:E365))</f>
        <v/>
      </c>
      <c r="G365" s="5"/>
    </row>
    <row r="366" customFormat="false" ht="15" hidden="false" customHeight="false" outlineLevel="0" collapsed="false">
      <c r="A366" s="18"/>
      <c r="B366" s="5"/>
      <c r="C366" s="5"/>
      <c r="D366" s="4"/>
      <c r="E366" s="4"/>
      <c r="F366" s="19" t="str">
        <f aca="false">IF(AND(D366="",E366=""),"",Boshlash!$B$4+SUM($D$5:D366)+SUM($E$5:E366))</f>
        <v/>
      </c>
      <c r="G366" s="5"/>
    </row>
    <row r="367" customFormat="false" ht="15" hidden="false" customHeight="false" outlineLevel="0" collapsed="false">
      <c r="A367" s="18"/>
      <c r="B367" s="5"/>
      <c r="C367" s="5"/>
      <c r="D367" s="4"/>
      <c r="E367" s="4"/>
      <c r="F367" s="19" t="str">
        <f aca="false">IF(AND(D367="",E367=""),"",Boshlash!$B$4+SUM($D$5:D367)+SUM($E$5:E367))</f>
        <v/>
      </c>
      <c r="G367" s="5"/>
    </row>
    <row r="368" customFormat="false" ht="15" hidden="false" customHeight="false" outlineLevel="0" collapsed="false">
      <c r="A368" s="18"/>
      <c r="B368" s="5"/>
      <c r="C368" s="5"/>
      <c r="D368" s="4"/>
      <c r="E368" s="4"/>
      <c r="F368" s="19" t="str">
        <f aca="false">IF(AND(D368="",E368=""),"",Boshlash!$B$4+SUM($D$5:D368)+SUM($E$5:E368))</f>
        <v/>
      </c>
      <c r="G368" s="5"/>
    </row>
    <row r="369" customFormat="false" ht="15" hidden="false" customHeight="false" outlineLevel="0" collapsed="false">
      <c r="A369" s="18"/>
      <c r="B369" s="5"/>
      <c r="C369" s="5"/>
      <c r="D369" s="4"/>
      <c r="E369" s="4"/>
      <c r="F369" s="19" t="str">
        <f aca="false">IF(AND(D369="",E369=""),"",Boshlash!$B$4+SUM($D$5:D369)+SUM($E$5:E369))</f>
        <v/>
      </c>
      <c r="G369" s="5"/>
    </row>
    <row r="370" customFormat="false" ht="15" hidden="false" customHeight="false" outlineLevel="0" collapsed="false">
      <c r="A370" s="18"/>
      <c r="B370" s="5"/>
      <c r="C370" s="5"/>
      <c r="D370" s="4"/>
      <c r="E370" s="4"/>
      <c r="F370" s="19" t="str">
        <f aca="false">IF(AND(D370="",E370=""),"",Boshlash!$B$4+SUM($D$5:D370)+SUM($E$5:E370))</f>
        <v/>
      </c>
      <c r="G370" s="5"/>
    </row>
    <row r="371" customFormat="false" ht="15" hidden="false" customHeight="false" outlineLevel="0" collapsed="false">
      <c r="A371" s="18"/>
      <c r="B371" s="5"/>
      <c r="C371" s="5"/>
      <c r="D371" s="4"/>
      <c r="E371" s="4"/>
      <c r="F371" s="19" t="str">
        <f aca="false">IF(AND(D371="",E371=""),"",Boshlash!$B$4+SUM($D$5:D371)+SUM($E$5:E371))</f>
        <v/>
      </c>
      <c r="G371" s="5"/>
    </row>
    <row r="372" customFormat="false" ht="15" hidden="false" customHeight="false" outlineLevel="0" collapsed="false">
      <c r="A372" s="18"/>
      <c r="B372" s="5"/>
      <c r="C372" s="5"/>
      <c r="D372" s="4"/>
      <c r="E372" s="4"/>
      <c r="F372" s="19" t="str">
        <f aca="false">IF(AND(D372="",E372=""),"",Boshlash!$B$4+SUM($D$5:D372)+SUM($E$5:E372))</f>
        <v/>
      </c>
      <c r="G372" s="5"/>
    </row>
    <row r="373" customFormat="false" ht="15" hidden="false" customHeight="false" outlineLevel="0" collapsed="false">
      <c r="A373" s="18"/>
      <c r="B373" s="5"/>
      <c r="C373" s="5"/>
      <c r="D373" s="4"/>
      <c r="E373" s="4"/>
      <c r="F373" s="19" t="str">
        <f aca="false">IF(AND(D373="",E373=""),"",Boshlash!$B$4+SUM($D$5:D373)+SUM($E$5:E373))</f>
        <v/>
      </c>
      <c r="G373" s="5"/>
    </row>
    <row r="374" customFormat="false" ht="15" hidden="false" customHeight="false" outlineLevel="0" collapsed="false">
      <c r="A374" s="18"/>
      <c r="B374" s="5"/>
      <c r="C374" s="5"/>
      <c r="D374" s="4"/>
      <c r="E374" s="4"/>
      <c r="F374" s="19" t="str">
        <f aca="false">IF(AND(D374="",E374=""),"",Boshlash!$B$4+SUM($D$5:D374)+SUM($E$5:E374))</f>
        <v/>
      </c>
      <c r="G374" s="5"/>
    </row>
    <row r="375" customFormat="false" ht="15" hidden="false" customHeight="false" outlineLevel="0" collapsed="false">
      <c r="A375" s="18"/>
      <c r="B375" s="5"/>
      <c r="C375" s="5"/>
      <c r="D375" s="4"/>
      <c r="E375" s="4"/>
      <c r="F375" s="19" t="str">
        <f aca="false">IF(AND(D375="",E375=""),"",Boshlash!$B$4+SUM($D$5:D375)+SUM($E$5:E375))</f>
        <v/>
      </c>
      <c r="G375" s="5"/>
    </row>
    <row r="376" customFormat="false" ht="15" hidden="false" customHeight="false" outlineLevel="0" collapsed="false">
      <c r="A376" s="18"/>
      <c r="B376" s="5"/>
      <c r="C376" s="5"/>
      <c r="D376" s="4"/>
      <c r="E376" s="4"/>
      <c r="F376" s="19" t="str">
        <f aca="false">IF(AND(D376="",E376=""),"",Boshlash!$B$4+SUM($D$5:D376)+SUM($E$5:E376))</f>
        <v/>
      </c>
      <c r="G376" s="5"/>
    </row>
    <row r="377" customFormat="false" ht="15" hidden="false" customHeight="false" outlineLevel="0" collapsed="false">
      <c r="A377" s="18"/>
      <c r="B377" s="5"/>
      <c r="C377" s="5"/>
      <c r="D377" s="4"/>
      <c r="E377" s="4"/>
      <c r="F377" s="19" t="str">
        <f aca="false">IF(AND(D377="",E377=""),"",Boshlash!$B$4+SUM($D$5:D377)+SUM($E$5:E377))</f>
        <v/>
      </c>
      <c r="G377" s="5"/>
    </row>
    <row r="378" customFormat="false" ht="15" hidden="false" customHeight="false" outlineLevel="0" collapsed="false">
      <c r="A378" s="18"/>
      <c r="B378" s="5"/>
      <c r="C378" s="5"/>
      <c r="D378" s="4"/>
      <c r="E378" s="4"/>
      <c r="F378" s="19" t="str">
        <f aca="false">IF(AND(D378="",E378=""),"",Boshlash!$B$4+SUM($D$5:D378)+SUM($E$5:E378))</f>
        <v/>
      </c>
      <c r="G378" s="5"/>
    </row>
    <row r="379" customFormat="false" ht="15" hidden="false" customHeight="false" outlineLevel="0" collapsed="false">
      <c r="A379" s="18"/>
      <c r="B379" s="5"/>
      <c r="C379" s="5"/>
      <c r="D379" s="4"/>
      <c r="E379" s="4"/>
      <c r="F379" s="19" t="str">
        <f aca="false">IF(AND(D379="",E379=""),"",Boshlash!$B$4+SUM($D$5:D379)+SUM($E$5:E379))</f>
        <v/>
      </c>
      <c r="G379" s="5"/>
    </row>
    <row r="380" customFormat="false" ht="15" hidden="false" customHeight="false" outlineLevel="0" collapsed="false">
      <c r="A380" s="18"/>
      <c r="B380" s="5"/>
      <c r="C380" s="5"/>
      <c r="D380" s="4"/>
      <c r="E380" s="4"/>
      <c r="F380" s="19" t="str">
        <f aca="false">IF(AND(D380="",E380=""),"",Boshlash!$B$4+SUM($D$5:D380)+SUM($E$5:E380))</f>
        <v/>
      </c>
      <c r="G380" s="5"/>
    </row>
    <row r="381" customFormat="false" ht="15" hidden="false" customHeight="false" outlineLevel="0" collapsed="false">
      <c r="A381" s="18"/>
      <c r="B381" s="5"/>
      <c r="C381" s="5"/>
      <c r="D381" s="4"/>
      <c r="E381" s="4"/>
      <c r="F381" s="19" t="str">
        <f aca="false">IF(AND(D381="",E381=""),"",Boshlash!$B$4+SUM($D$5:D381)+SUM($E$5:E381))</f>
        <v/>
      </c>
      <c r="G381" s="5"/>
    </row>
    <row r="382" customFormat="false" ht="15" hidden="false" customHeight="false" outlineLevel="0" collapsed="false">
      <c r="A382" s="18"/>
      <c r="B382" s="5"/>
      <c r="C382" s="5"/>
      <c r="D382" s="4"/>
      <c r="E382" s="4"/>
      <c r="F382" s="19" t="str">
        <f aca="false">IF(AND(D382="",E382=""),"",Boshlash!$B$4+SUM($D$5:D382)+SUM($E$5:E382))</f>
        <v/>
      </c>
      <c r="G382" s="5"/>
    </row>
    <row r="383" customFormat="false" ht="15" hidden="false" customHeight="false" outlineLevel="0" collapsed="false">
      <c r="A383" s="18"/>
      <c r="B383" s="5"/>
      <c r="C383" s="5"/>
      <c r="D383" s="4"/>
      <c r="E383" s="4"/>
      <c r="F383" s="19" t="str">
        <f aca="false">IF(AND(D383="",E383=""),"",Boshlash!$B$4+SUM($D$5:D383)+SUM($E$5:E383))</f>
        <v/>
      </c>
      <c r="G383" s="5"/>
    </row>
    <row r="384" customFormat="false" ht="15" hidden="false" customHeight="false" outlineLevel="0" collapsed="false">
      <c r="A384" s="18"/>
      <c r="B384" s="5"/>
      <c r="C384" s="5"/>
      <c r="D384" s="4"/>
      <c r="E384" s="4"/>
      <c r="F384" s="19" t="str">
        <f aca="false">IF(AND(D384="",E384=""),"",Boshlash!$B$4+SUM($D$5:D384)+SUM($E$5:E384))</f>
        <v/>
      </c>
      <c r="G384" s="5"/>
    </row>
    <row r="385" customFormat="false" ht="15" hidden="false" customHeight="false" outlineLevel="0" collapsed="false">
      <c r="A385" s="18"/>
      <c r="B385" s="5"/>
      <c r="C385" s="5"/>
      <c r="D385" s="4"/>
      <c r="E385" s="4"/>
      <c r="F385" s="19" t="str">
        <f aca="false">IF(AND(D385="",E385=""),"",Boshlash!$B$4+SUM($D$5:D385)+SUM($E$5:E385))</f>
        <v/>
      </c>
      <c r="G385" s="5"/>
    </row>
    <row r="386" customFormat="false" ht="15" hidden="false" customHeight="false" outlineLevel="0" collapsed="false">
      <c r="A386" s="18"/>
      <c r="B386" s="5"/>
      <c r="C386" s="5"/>
      <c r="D386" s="4"/>
      <c r="E386" s="4"/>
      <c r="F386" s="19" t="str">
        <f aca="false">IF(AND(D386="",E386=""),"",Boshlash!$B$4+SUM($D$5:D386)+SUM($E$5:E386))</f>
        <v/>
      </c>
      <c r="G386" s="5"/>
    </row>
    <row r="387" customFormat="false" ht="15" hidden="false" customHeight="false" outlineLevel="0" collapsed="false">
      <c r="A387" s="18"/>
      <c r="B387" s="5"/>
      <c r="C387" s="5"/>
      <c r="D387" s="4"/>
      <c r="E387" s="4"/>
      <c r="F387" s="19" t="str">
        <f aca="false">IF(AND(D387="",E387=""),"",Boshlash!$B$4+SUM($D$5:D387)+SUM($E$5:E387))</f>
        <v/>
      </c>
      <c r="G387" s="5"/>
    </row>
    <row r="388" customFormat="false" ht="15" hidden="false" customHeight="false" outlineLevel="0" collapsed="false">
      <c r="A388" s="18"/>
      <c r="B388" s="5"/>
      <c r="C388" s="5"/>
      <c r="D388" s="4"/>
      <c r="E388" s="4"/>
      <c r="F388" s="19" t="str">
        <f aca="false">IF(AND(D388="",E388=""),"",Boshlash!$B$4+SUM($D$5:D388)+SUM($E$5:E388))</f>
        <v/>
      </c>
      <c r="G388" s="5"/>
    </row>
    <row r="389" customFormat="false" ht="15" hidden="false" customHeight="false" outlineLevel="0" collapsed="false">
      <c r="A389" s="18"/>
      <c r="B389" s="5"/>
      <c r="C389" s="5"/>
      <c r="D389" s="4"/>
      <c r="E389" s="4"/>
      <c r="F389" s="19" t="str">
        <f aca="false">IF(AND(D389="",E389=""),"",Boshlash!$B$4+SUM($D$5:D389)+SUM($E$5:E389))</f>
        <v/>
      </c>
      <c r="G389" s="5"/>
    </row>
    <row r="390" customFormat="false" ht="15" hidden="false" customHeight="false" outlineLevel="0" collapsed="false">
      <c r="A390" s="18"/>
      <c r="B390" s="5"/>
      <c r="C390" s="5"/>
      <c r="D390" s="4"/>
      <c r="E390" s="4"/>
      <c r="F390" s="19" t="str">
        <f aca="false">IF(AND(D390="",E390=""),"",Boshlash!$B$4+SUM($D$5:D390)+SUM($E$5:E390))</f>
        <v/>
      </c>
      <c r="G390" s="5"/>
    </row>
    <row r="391" customFormat="false" ht="15" hidden="false" customHeight="false" outlineLevel="0" collapsed="false">
      <c r="A391" s="18"/>
      <c r="B391" s="5"/>
      <c r="C391" s="5"/>
      <c r="D391" s="4"/>
      <c r="E391" s="4"/>
      <c r="F391" s="19" t="str">
        <f aca="false">IF(AND(D391="",E391=""),"",Boshlash!$B$4+SUM($D$5:D391)+SUM($E$5:E391))</f>
        <v/>
      </c>
      <c r="G391" s="5"/>
    </row>
    <row r="392" customFormat="false" ht="15" hidden="false" customHeight="false" outlineLevel="0" collapsed="false">
      <c r="A392" s="18"/>
      <c r="B392" s="5"/>
      <c r="C392" s="5"/>
      <c r="D392" s="4"/>
      <c r="E392" s="4"/>
      <c r="F392" s="19" t="str">
        <f aca="false">IF(AND(D392="",E392=""),"",Boshlash!$B$4+SUM($D$5:D392)+SUM($E$5:E392))</f>
        <v/>
      </c>
      <c r="G392" s="5"/>
    </row>
    <row r="393" customFormat="false" ht="15" hidden="false" customHeight="false" outlineLevel="0" collapsed="false">
      <c r="A393" s="18"/>
      <c r="B393" s="5"/>
      <c r="C393" s="5"/>
      <c r="D393" s="4"/>
      <c r="E393" s="4"/>
      <c r="F393" s="19" t="str">
        <f aca="false">IF(AND(D393="",E393=""),"",Boshlash!$B$4+SUM($D$5:D393)+SUM($E$5:E393))</f>
        <v/>
      </c>
      <c r="G393" s="5"/>
    </row>
    <row r="394" customFormat="false" ht="15" hidden="false" customHeight="false" outlineLevel="0" collapsed="false">
      <c r="A394" s="18"/>
      <c r="B394" s="5"/>
      <c r="C394" s="5"/>
      <c r="D394" s="4"/>
      <c r="E394" s="4"/>
      <c r="F394" s="19" t="str">
        <f aca="false">IF(AND(D394="",E394=""),"",Boshlash!$B$4+SUM($D$5:D394)+SUM($E$5:E394))</f>
        <v/>
      </c>
      <c r="G394" s="5"/>
    </row>
    <row r="395" customFormat="false" ht="15" hidden="false" customHeight="false" outlineLevel="0" collapsed="false">
      <c r="A395" s="18"/>
      <c r="B395" s="5"/>
      <c r="C395" s="5"/>
      <c r="D395" s="4"/>
      <c r="E395" s="4"/>
      <c r="F395" s="19" t="str">
        <f aca="false">IF(AND(D395="",E395=""),"",Boshlash!$B$4+SUM($D$5:D395)+SUM($E$5:E395))</f>
        <v/>
      </c>
      <c r="G395" s="5"/>
    </row>
    <row r="396" customFormat="false" ht="15" hidden="false" customHeight="false" outlineLevel="0" collapsed="false">
      <c r="A396" s="18"/>
      <c r="B396" s="5"/>
      <c r="C396" s="5"/>
      <c r="D396" s="4"/>
      <c r="E396" s="4"/>
      <c r="F396" s="19" t="str">
        <f aca="false">IF(AND(D396="",E396=""),"",Boshlash!$B$4+SUM($D$5:D396)+SUM($E$5:E396))</f>
        <v/>
      </c>
      <c r="G396" s="5"/>
    </row>
    <row r="397" customFormat="false" ht="15" hidden="false" customHeight="false" outlineLevel="0" collapsed="false">
      <c r="A397" s="18"/>
      <c r="B397" s="5"/>
      <c r="C397" s="5"/>
      <c r="D397" s="4"/>
      <c r="E397" s="4"/>
      <c r="F397" s="19" t="str">
        <f aca="false">IF(AND(D397="",E397=""),"",Boshlash!$B$4+SUM($D$5:D397)+SUM($E$5:E397))</f>
        <v/>
      </c>
      <c r="G397" s="5"/>
    </row>
    <row r="398" customFormat="false" ht="15" hidden="false" customHeight="false" outlineLevel="0" collapsed="false">
      <c r="A398" s="18"/>
      <c r="B398" s="5"/>
      <c r="C398" s="5"/>
      <c r="D398" s="4"/>
      <c r="E398" s="4"/>
      <c r="F398" s="19" t="str">
        <f aca="false">IF(AND(D398="",E398=""),"",Boshlash!$B$4+SUM($D$5:D398)+SUM($E$5:E398))</f>
        <v/>
      </c>
      <c r="G398" s="5"/>
    </row>
    <row r="399" customFormat="false" ht="15" hidden="false" customHeight="false" outlineLevel="0" collapsed="false">
      <c r="A399" s="18"/>
      <c r="B399" s="5"/>
      <c r="C399" s="5"/>
      <c r="D399" s="4"/>
      <c r="E399" s="4"/>
      <c r="F399" s="19" t="str">
        <f aca="false">IF(AND(D399="",E399=""),"",Boshlash!$B$4+SUM($D$5:D399)+SUM($E$5:E399))</f>
        <v/>
      </c>
      <c r="G399" s="5"/>
    </row>
    <row r="400" customFormat="false" ht="15" hidden="false" customHeight="false" outlineLevel="0" collapsed="false">
      <c r="A400" s="18"/>
      <c r="B400" s="5"/>
      <c r="C400" s="5"/>
      <c r="D400" s="4"/>
      <c r="E400" s="4"/>
      <c r="F400" s="19" t="str">
        <f aca="false">IF(AND(D400="",E400=""),"",Boshlash!$B$4+SUM($D$5:D400)+SUM($E$5:E400))</f>
        <v/>
      </c>
      <c r="G400" s="5"/>
    </row>
    <row r="401" customFormat="false" ht="15" hidden="false" customHeight="false" outlineLevel="0" collapsed="false">
      <c r="A401" s="18"/>
      <c r="B401" s="5"/>
      <c r="C401" s="5"/>
      <c r="D401" s="4"/>
      <c r="E401" s="4"/>
      <c r="F401" s="19" t="str">
        <f aca="false">IF(AND(D401="",E401=""),"",Boshlash!$B$4+SUM($D$5:D401)+SUM($E$5:E401))</f>
        <v/>
      </c>
      <c r="G401" s="5"/>
    </row>
    <row r="402" customFormat="false" ht="15" hidden="false" customHeight="false" outlineLevel="0" collapsed="false">
      <c r="A402" s="18"/>
      <c r="B402" s="5"/>
      <c r="C402" s="5"/>
      <c r="D402" s="4"/>
      <c r="E402" s="4"/>
      <c r="F402" s="19" t="str">
        <f aca="false">IF(AND(D402="",E402=""),"",Boshlash!$B$4+SUM($D$5:D402)+SUM($E$5:E402))</f>
        <v/>
      </c>
      <c r="G402" s="5"/>
    </row>
    <row r="403" customFormat="false" ht="15" hidden="false" customHeight="false" outlineLevel="0" collapsed="false">
      <c r="A403" s="18"/>
      <c r="B403" s="5"/>
      <c r="C403" s="5"/>
      <c r="D403" s="4"/>
      <c r="E403" s="4"/>
      <c r="F403" s="19" t="str">
        <f aca="false">IF(AND(D403="",E403=""),"",Boshlash!$B$4+SUM($D$5:D403)+SUM($E$5:E403))</f>
        <v/>
      </c>
      <c r="G403" s="5"/>
    </row>
    <row r="404" customFormat="false" ht="15" hidden="false" customHeight="false" outlineLevel="0" collapsed="false">
      <c r="A404" s="18"/>
      <c r="B404" s="5"/>
      <c r="C404" s="5"/>
      <c r="D404" s="4"/>
      <c r="E404" s="4"/>
      <c r="F404" s="19" t="str">
        <f aca="false">IF(AND(D404="",E404=""),"",Boshlash!$B$4+SUM($D$5:D404)+SUM($E$5:E404))</f>
        <v/>
      </c>
      <c r="G404" s="5"/>
    </row>
    <row r="405" customFormat="false" ht="15" hidden="false" customHeight="false" outlineLevel="0" collapsed="false">
      <c r="A405" s="18"/>
      <c r="B405" s="5"/>
      <c r="C405" s="5"/>
      <c r="D405" s="4"/>
      <c r="E405" s="4"/>
      <c r="F405" s="19" t="str">
        <f aca="false">IF(AND(D405="",E405=""),"",Boshlash!$B$4+SUM($D$5:D405)+SUM($E$5:E405))</f>
        <v/>
      </c>
      <c r="G405" s="5"/>
    </row>
    <row r="406" customFormat="false" ht="15" hidden="false" customHeight="false" outlineLevel="0" collapsed="false">
      <c r="A406" s="18"/>
      <c r="B406" s="5"/>
      <c r="C406" s="5"/>
      <c r="D406" s="4"/>
      <c r="E406" s="4"/>
      <c r="F406" s="19" t="str">
        <f aca="false">IF(AND(D406="",E406=""),"",Boshlash!$B$4+SUM($D$5:D406)+SUM($E$5:E406))</f>
        <v/>
      </c>
      <c r="G406" s="5"/>
    </row>
    <row r="407" customFormat="false" ht="15" hidden="false" customHeight="false" outlineLevel="0" collapsed="false">
      <c r="A407" s="18"/>
      <c r="B407" s="5"/>
      <c r="C407" s="5"/>
      <c r="D407" s="4"/>
      <c r="E407" s="4"/>
      <c r="F407" s="19" t="str">
        <f aca="false">IF(AND(D407="",E407=""),"",Boshlash!$B$4+SUM($D$5:D407)+SUM($E$5:E407))</f>
        <v/>
      </c>
      <c r="G407" s="5"/>
    </row>
    <row r="408" customFormat="false" ht="15" hidden="false" customHeight="false" outlineLevel="0" collapsed="false">
      <c r="A408" s="18"/>
      <c r="B408" s="5"/>
      <c r="C408" s="5"/>
      <c r="D408" s="4"/>
      <c r="E408" s="4"/>
      <c r="F408" s="19" t="str">
        <f aca="false">IF(AND(D408="",E408=""),"",Boshlash!$B$4+SUM($D$5:D408)+SUM($E$5:E408))</f>
        <v/>
      </c>
      <c r="G408" s="5"/>
    </row>
    <row r="409" customFormat="false" ht="15" hidden="false" customHeight="false" outlineLevel="0" collapsed="false">
      <c r="A409" s="18"/>
      <c r="B409" s="5"/>
      <c r="C409" s="5"/>
      <c r="D409" s="4"/>
      <c r="E409" s="4"/>
      <c r="F409" s="19" t="str">
        <f aca="false">IF(AND(D409="",E409=""),"",Boshlash!$B$4+SUM($D$5:D409)+SUM($E$5:E409))</f>
        <v/>
      </c>
      <c r="G409" s="5"/>
    </row>
    <row r="410" customFormat="false" ht="15" hidden="false" customHeight="false" outlineLevel="0" collapsed="false">
      <c r="A410" s="18"/>
      <c r="B410" s="5"/>
      <c r="C410" s="5"/>
      <c r="D410" s="4"/>
      <c r="E410" s="4"/>
      <c r="F410" s="19" t="str">
        <f aca="false">IF(AND(D410="",E410=""),"",Boshlash!$B$4+SUM($D$5:D410)+SUM($E$5:E410))</f>
        <v/>
      </c>
      <c r="G410" s="5"/>
    </row>
    <row r="411" customFormat="false" ht="15" hidden="false" customHeight="false" outlineLevel="0" collapsed="false">
      <c r="A411" s="18"/>
      <c r="B411" s="5"/>
      <c r="C411" s="5"/>
      <c r="D411" s="4"/>
      <c r="E411" s="4"/>
      <c r="F411" s="19" t="str">
        <f aca="false">IF(AND(D411="",E411=""),"",Boshlash!$B$4+SUM($D$5:D411)+SUM($E$5:E411))</f>
        <v/>
      </c>
      <c r="G411" s="5"/>
    </row>
    <row r="412" customFormat="false" ht="15" hidden="false" customHeight="false" outlineLevel="0" collapsed="false">
      <c r="A412" s="18"/>
      <c r="B412" s="5"/>
      <c r="C412" s="5"/>
      <c r="D412" s="4"/>
      <c r="E412" s="4"/>
      <c r="F412" s="19" t="str">
        <f aca="false">IF(AND(D412="",E412=""),"",Boshlash!$B$4+SUM($D$5:D412)+SUM($E$5:E412))</f>
        <v/>
      </c>
      <c r="G412" s="5"/>
    </row>
    <row r="413" customFormat="false" ht="15" hidden="false" customHeight="false" outlineLevel="0" collapsed="false">
      <c r="A413" s="18"/>
      <c r="B413" s="5"/>
      <c r="C413" s="5"/>
      <c r="D413" s="4"/>
      <c r="E413" s="4"/>
      <c r="F413" s="19" t="str">
        <f aca="false">IF(AND(D413="",E413=""),"",Boshlash!$B$4+SUM($D$5:D413)+SUM($E$5:E413))</f>
        <v/>
      </c>
      <c r="G413" s="5"/>
    </row>
    <row r="414" customFormat="false" ht="15" hidden="false" customHeight="false" outlineLevel="0" collapsed="false">
      <c r="A414" s="18"/>
      <c r="B414" s="5"/>
      <c r="C414" s="5"/>
      <c r="D414" s="4"/>
      <c r="E414" s="4"/>
      <c r="F414" s="19" t="str">
        <f aca="false">IF(AND(D414="",E414=""),"",Boshlash!$B$4+SUM($D$5:D414)+SUM($E$5:E414))</f>
        <v/>
      </c>
      <c r="G414" s="5"/>
    </row>
    <row r="415" customFormat="false" ht="15" hidden="false" customHeight="false" outlineLevel="0" collapsed="false">
      <c r="A415" s="18"/>
      <c r="B415" s="5"/>
      <c r="C415" s="5"/>
      <c r="D415" s="4"/>
      <c r="E415" s="4"/>
      <c r="F415" s="19" t="str">
        <f aca="false">IF(AND(D415="",E415=""),"",Boshlash!$B$4+SUM($D$5:D415)+SUM($E$5:E415))</f>
        <v/>
      </c>
      <c r="G415" s="5"/>
    </row>
    <row r="416" customFormat="false" ht="15" hidden="false" customHeight="false" outlineLevel="0" collapsed="false">
      <c r="A416" s="18"/>
      <c r="B416" s="5"/>
      <c r="C416" s="5"/>
      <c r="D416" s="4"/>
      <c r="E416" s="4"/>
      <c r="F416" s="19" t="str">
        <f aca="false">IF(AND(D416="",E416=""),"",Boshlash!$B$4+SUM($D$5:D416)+SUM($E$5:E416))</f>
        <v/>
      </c>
      <c r="G416" s="5"/>
    </row>
    <row r="417" customFormat="false" ht="15" hidden="false" customHeight="false" outlineLevel="0" collapsed="false">
      <c r="A417" s="18"/>
      <c r="B417" s="5"/>
      <c r="C417" s="5"/>
      <c r="D417" s="4"/>
      <c r="E417" s="4"/>
      <c r="F417" s="19" t="str">
        <f aca="false">IF(AND(D417="",E417=""),"",Boshlash!$B$4+SUM($D$5:D417)+SUM($E$5:E417))</f>
        <v/>
      </c>
      <c r="G417" s="5"/>
    </row>
    <row r="418" customFormat="false" ht="15" hidden="false" customHeight="false" outlineLevel="0" collapsed="false">
      <c r="A418" s="18"/>
      <c r="B418" s="5"/>
      <c r="C418" s="5"/>
      <c r="D418" s="4"/>
      <c r="E418" s="4"/>
      <c r="F418" s="19" t="str">
        <f aca="false">IF(AND(D418="",E418=""),"",Boshlash!$B$4+SUM($D$5:D418)+SUM($E$5:E418))</f>
        <v/>
      </c>
      <c r="G418" s="5"/>
    </row>
    <row r="419" customFormat="false" ht="15" hidden="false" customHeight="false" outlineLevel="0" collapsed="false">
      <c r="A419" s="18"/>
      <c r="B419" s="5"/>
      <c r="C419" s="5"/>
      <c r="D419" s="4"/>
      <c r="E419" s="4"/>
      <c r="F419" s="19" t="str">
        <f aca="false">IF(AND(D419="",E419=""),"",Boshlash!$B$4+SUM($D$5:D419)+SUM($E$5:E419))</f>
        <v/>
      </c>
      <c r="G419" s="5"/>
    </row>
    <row r="420" customFormat="false" ht="15" hidden="false" customHeight="false" outlineLevel="0" collapsed="false">
      <c r="A420" s="18"/>
      <c r="B420" s="5"/>
      <c r="C420" s="5"/>
      <c r="D420" s="4"/>
      <c r="E420" s="4"/>
      <c r="F420" s="19" t="str">
        <f aca="false">IF(AND(D420="",E420=""),"",Boshlash!$B$4+SUM($D$5:D420)+SUM($E$5:E420))</f>
        <v/>
      </c>
      <c r="G420" s="5"/>
    </row>
    <row r="421" customFormat="false" ht="15" hidden="false" customHeight="false" outlineLevel="0" collapsed="false">
      <c r="A421" s="18"/>
      <c r="B421" s="5"/>
      <c r="C421" s="5"/>
      <c r="D421" s="4"/>
      <c r="E421" s="4"/>
      <c r="F421" s="19" t="str">
        <f aca="false">IF(AND(D421="",E421=""),"",Boshlash!$B$4+SUM($D$5:D421)+SUM($E$5:E421))</f>
        <v/>
      </c>
      <c r="G421" s="5"/>
    </row>
    <row r="422" customFormat="false" ht="15" hidden="false" customHeight="false" outlineLevel="0" collapsed="false">
      <c r="A422" s="18"/>
      <c r="B422" s="5"/>
      <c r="C422" s="5"/>
      <c r="D422" s="4"/>
      <c r="E422" s="4"/>
      <c r="F422" s="19" t="str">
        <f aca="false">IF(AND(D422="",E422=""),"",Boshlash!$B$4+SUM($D$5:D422)+SUM($E$5:E422))</f>
        <v/>
      </c>
      <c r="G422" s="5"/>
    </row>
    <row r="423" customFormat="false" ht="15" hidden="false" customHeight="false" outlineLevel="0" collapsed="false">
      <c r="A423" s="18"/>
      <c r="B423" s="5"/>
      <c r="C423" s="5"/>
      <c r="D423" s="4"/>
      <c r="E423" s="4"/>
      <c r="F423" s="19" t="str">
        <f aca="false">IF(AND(D423="",E423=""),"",Boshlash!$B$4+SUM($D$5:D423)+SUM($E$5:E423))</f>
        <v/>
      </c>
      <c r="G423" s="5"/>
    </row>
    <row r="424" customFormat="false" ht="15" hidden="false" customHeight="false" outlineLevel="0" collapsed="false">
      <c r="A424" s="18"/>
      <c r="B424" s="5"/>
      <c r="C424" s="5"/>
      <c r="D424" s="4"/>
      <c r="E424" s="4"/>
      <c r="F424" s="19" t="str">
        <f aca="false">IF(AND(D424="",E424=""),"",Boshlash!$B$4+SUM($D$5:D424)+SUM($E$5:E424))</f>
        <v/>
      </c>
      <c r="G424" s="5"/>
    </row>
    <row r="425" customFormat="false" ht="15" hidden="false" customHeight="false" outlineLevel="0" collapsed="false">
      <c r="A425" s="18"/>
      <c r="B425" s="5"/>
      <c r="C425" s="5"/>
      <c r="D425" s="4"/>
      <c r="E425" s="4"/>
      <c r="F425" s="19" t="str">
        <f aca="false">IF(AND(D425="",E425=""),"",Boshlash!$B$4+SUM($D$5:D425)+SUM($E$5:E425))</f>
        <v/>
      </c>
      <c r="G425" s="5"/>
    </row>
    <row r="426" customFormat="false" ht="15" hidden="false" customHeight="false" outlineLevel="0" collapsed="false">
      <c r="A426" s="18"/>
      <c r="B426" s="5"/>
      <c r="C426" s="5"/>
      <c r="D426" s="4"/>
      <c r="E426" s="4"/>
      <c r="F426" s="19" t="str">
        <f aca="false">IF(AND(D426="",E426=""),"",Boshlash!$B$4+SUM($D$5:D426)+SUM($E$5:E426))</f>
        <v/>
      </c>
      <c r="G426" s="5"/>
    </row>
    <row r="427" customFormat="false" ht="15" hidden="false" customHeight="false" outlineLevel="0" collapsed="false">
      <c r="A427" s="18"/>
      <c r="B427" s="5"/>
      <c r="C427" s="5"/>
      <c r="D427" s="4"/>
      <c r="E427" s="4"/>
      <c r="F427" s="19" t="str">
        <f aca="false">IF(AND(D427="",E427=""),"",Boshlash!$B$4+SUM($D$5:D427)+SUM($E$5:E427))</f>
        <v/>
      </c>
      <c r="G427" s="5"/>
    </row>
    <row r="428" customFormat="false" ht="15" hidden="false" customHeight="false" outlineLevel="0" collapsed="false">
      <c r="A428" s="18"/>
      <c r="B428" s="5"/>
      <c r="C428" s="5"/>
      <c r="D428" s="4"/>
      <c r="E428" s="4"/>
      <c r="F428" s="19" t="str">
        <f aca="false">IF(AND(D428="",E428=""),"",Boshlash!$B$4+SUM($D$5:D428)+SUM($E$5:E428))</f>
        <v/>
      </c>
      <c r="G428" s="5"/>
    </row>
    <row r="429" customFormat="false" ht="15" hidden="false" customHeight="false" outlineLevel="0" collapsed="false">
      <c r="A429" s="18"/>
      <c r="B429" s="5"/>
      <c r="C429" s="5"/>
      <c r="D429" s="4"/>
      <c r="E429" s="4"/>
      <c r="F429" s="19" t="str">
        <f aca="false">IF(AND(D429="",E429=""),"",Boshlash!$B$4+SUM($D$5:D429)+SUM($E$5:E429))</f>
        <v/>
      </c>
      <c r="G429" s="5"/>
    </row>
    <row r="430" customFormat="false" ht="15" hidden="false" customHeight="false" outlineLevel="0" collapsed="false">
      <c r="A430" s="18"/>
      <c r="B430" s="5"/>
      <c r="C430" s="5"/>
      <c r="D430" s="4"/>
      <c r="E430" s="4"/>
      <c r="F430" s="19" t="str">
        <f aca="false">IF(AND(D430="",E430=""),"",Boshlash!$B$4+SUM($D$5:D430)+SUM($E$5:E430))</f>
        <v/>
      </c>
      <c r="G430" s="5"/>
    </row>
    <row r="431" customFormat="false" ht="15" hidden="false" customHeight="false" outlineLevel="0" collapsed="false">
      <c r="A431" s="18"/>
      <c r="B431" s="5"/>
      <c r="C431" s="5"/>
      <c r="D431" s="4"/>
      <c r="E431" s="4"/>
      <c r="F431" s="19" t="str">
        <f aca="false">IF(AND(D431="",E431=""),"",Boshlash!$B$4+SUM($D$5:D431)+SUM($E$5:E431))</f>
        <v/>
      </c>
      <c r="G431" s="5"/>
    </row>
    <row r="432" customFormat="false" ht="15" hidden="false" customHeight="false" outlineLevel="0" collapsed="false">
      <c r="A432" s="18"/>
      <c r="B432" s="5"/>
      <c r="C432" s="5"/>
      <c r="D432" s="4"/>
      <c r="E432" s="4"/>
      <c r="F432" s="19" t="str">
        <f aca="false">IF(AND(D432="",E432=""),"",Boshlash!$B$4+SUM($D$5:D432)+SUM($E$5:E432))</f>
        <v/>
      </c>
      <c r="G432" s="5"/>
    </row>
    <row r="433" customFormat="false" ht="15" hidden="false" customHeight="false" outlineLevel="0" collapsed="false">
      <c r="A433" s="18"/>
      <c r="B433" s="5"/>
      <c r="C433" s="5"/>
      <c r="D433" s="4"/>
      <c r="E433" s="4"/>
      <c r="F433" s="19" t="str">
        <f aca="false">IF(AND(D433="",E433=""),"",Boshlash!$B$4+SUM($D$5:D433)+SUM($E$5:E433))</f>
        <v/>
      </c>
      <c r="G433" s="5"/>
    </row>
    <row r="434" customFormat="false" ht="15" hidden="false" customHeight="false" outlineLevel="0" collapsed="false">
      <c r="A434" s="18"/>
      <c r="B434" s="5"/>
      <c r="C434" s="5"/>
      <c r="D434" s="4"/>
      <c r="E434" s="4"/>
      <c r="F434" s="19" t="str">
        <f aca="false">IF(AND(D434="",E434=""),"",Boshlash!$B$4+SUM($D$5:D434)+SUM($E$5:E434))</f>
        <v/>
      </c>
      <c r="G434" s="5"/>
    </row>
    <row r="435" customFormat="false" ht="15" hidden="false" customHeight="false" outlineLevel="0" collapsed="false">
      <c r="A435" s="18"/>
      <c r="B435" s="5"/>
      <c r="C435" s="5"/>
      <c r="D435" s="4"/>
      <c r="E435" s="4"/>
      <c r="F435" s="19" t="str">
        <f aca="false">IF(AND(D435="",E435=""),"",Boshlash!$B$4+SUM($D$5:D435)+SUM($E$5:E435))</f>
        <v/>
      </c>
      <c r="G435" s="5"/>
    </row>
    <row r="436" customFormat="false" ht="15" hidden="false" customHeight="false" outlineLevel="0" collapsed="false">
      <c r="A436" s="18"/>
      <c r="B436" s="5"/>
      <c r="C436" s="5"/>
      <c r="D436" s="4"/>
      <c r="E436" s="4"/>
      <c r="F436" s="19" t="str">
        <f aca="false">IF(AND(D436="",E436=""),"",Boshlash!$B$4+SUM($D$5:D436)+SUM($E$5:E436))</f>
        <v/>
      </c>
      <c r="G436" s="5"/>
    </row>
    <row r="437" customFormat="false" ht="15" hidden="false" customHeight="false" outlineLevel="0" collapsed="false">
      <c r="A437" s="18"/>
      <c r="B437" s="5"/>
      <c r="C437" s="5"/>
      <c r="D437" s="4"/>
      <c r="E437" s="4"/>
      <c r="F437" s="19" t="str">
        <f aca="false">IF(AND(D437="",E437=""),"",Boshlash!$B$4+SUM($D$5:D437)+SUM($E$5:E437))</f>
        <v/>
      </c>
      <c r="G437" s="5"/>
    </row>
    <row r="438" customFormat="false" ht="15" hidden="false" customHeight="false" outlineLevel="0" collapsed="false">
      <c r="A438" s="18"/>
      <c r="B438" s="5"/>
      <c r="C438" s="5"/>
      <c r="D438" s="4"/>
      <c r="E438" s="4"/>
      <c r="F438" s="19" t="str">
        <f aca="false">IF(AND(D438="",E438=""),"",Boshlash!$B$4+SUM($D$5:D438)+SUM($E$5:E438))</f>
        <v/>
      </c>
      <c r="G438" s="5"/>
    </row>
    <row r="439" customFormat="false" ht="15" hidden="false" customHeight="false" outlineLevel="0" collapsed="false">
      <c r="A439" s="18"/>
      <c r="B439" s="5"/>
      <c r="C439" s="5"/>
      <c r="D439" s="4"/>
      <c r="E439" s="4"/>
      <c r="F439" s="19" t="str">
        <f aca="false">IF(AND(D439="",E439=""),"",Boshlash!$B$4+SUM($D$5:D439)+SUM($E$5:E439))</f>
        <v/>
      </c>
      <c r="G439" s="5"/>
    </row>
    <row r="440" customFormat="false" ht="15" hidden="false" customHeight="false" outlineLevel="0" collapsed="false">
      <c r="A440" s="18"/>
      <c r="B440" s="5"/>
      <c r="C440" s="5"/>
      <c r="D440" s="4"/>
      <c r="E440" s="4"/>
      <c r="F440" s="19" t="str">
        <f aca="false">IF(AND(D440="",E440=""),"",Boshlash!$B$4+SUM($D$5:D440)+SUM($E$5:E440))</f>
        <v/>
      </c>
      <c r="G440" s="5"/>
    </row>
    <row r="441" customFormat="false" ht="15" hidden="false" customHeight="false" outlineLevel="0" collapsed="false">
      <c r="A441" s="18"/>
      <c r="B441" s="5"/>
      <c r="C441" s="5"/>
      <c r="D441" s="4"/>
      <c r="E441" s="4"/>
      <c r="F441" s="19" t="str">
        <f aca="false">IF(AND(D441="",E441=""),"",Boshlash!$B$4+SUM($D$5:D441)+SUM($E$5:E441))</f>
        <v/>
      </c>
      <c r="G441" s="5"/>
    </row>
    <row r="442" customFormat="false" ht="15" hidden="false" customHeight="false" outlineLevel="0" collapsed="false">
      <c r="A442" s="18"/>
      <c r="B442" s="5"/>
      <c r="C442" s="5"/>
      <c r="D442" s="4"/>
      <c r="E442" s="4"/>
      <c r="F442" s="19" t="str">
        <f aca="false">IF(AND(D442="",E442=""),"",Boshlash!$B$4+SUM($D$5:D442)+SUM($E$5:E442))</f>
        <v/>
      </c>
      <c r="G442" s="5"/>
    </row>
    <row r="443" customFormat="false" ht="15" hidden="false" customHeight="false" outlineLevel="0" collapsed="false">
      <c r="A443" s="18"/>
      <c r="B443" s="5"/>
      <c r="C443" s="5"/>
      <c r="D443" s="4"/>
      <c r="E443" s="4"/>
      <c r="F443" s="19" t="str">
        <f aca="false">IF(AND(D443="",E443=""),"",Boshlash!$B$4+SUM($D$5:D443)+SUM($E$5:E443))</f>
        <v/>
      </c>
      <c r="G443" s="5"/>
    </row>
    <row r="444" customFormat="false" ht="15" hidden="false" customHeight="false" outlineLevel="0" collapsed="false">
      <c r="A444" s="18"/>
      <c r="B444" s="5"/>
      <c r="C444" s="5"/>
      <c r="D444" s="4"/>
      <c r="E444" s="4"/>
      <c r="F444" s="19" t="str">
        <f aca="false">IF(AND(D444="",E444=""),"",Boshlash!$B$4+SUM($D$5:D444)+SUM($E$5:E444))</f>
        <v/>
      </c>
      <c r="G444" s="5"/>
    </row>
    <row r="445" customFormat="false" ht="15" hidden="false" customHeight="false" outlineLevel="0" collapsed="false">
      <c r="A445" s="18"/>
      <c r="B445" s="5"/>
      <c r="C445" s="5"/>
      <c r="D445" s="4"/>
      <c r="E445" s="4"/>
      <c r="F445" s="19" t="str">
        <f aca="false">IF(AND(D445="",E445=""),"",Boshlash!$B$4+SUM($D$5:D445)+SUM($E$5:E445))</f>
        <v/>
      </c>
      <c r="G445" s="5"/>
    </row>
    <row r="446" customFormat="false" ht="15" hidden="false" customHeight="false" outlineLevel="0" collapsed="false">
      <c r="A446" s="18"/>
      <c r="B446" s="5"/>
      <c r="C446" s="5"/>
      <c r="D446" s="4"/>
      <c r="E446" s="4"/>
      <c r="F446" s="19" t="str">
        <f aca="false">IF(AND(D446="",E446=""),"",Boshlash!$B$4+SUM($D$5:D446)+SUM($E$5:E446))</f>
        <v/>
      </c>
      <c r="G446" s="5"/>
    </row>
    <row r="447" customFormat="false" ht="15" hidden="false" customHeight="false" outlineLevel="0" collapsed="false">
      <c r="A447" s="18"/>
      <c r="B447" s="5"/>
      <c r="C447" s="5"/>
      <c r="D447" s="4"/>
      <c r="E447" s="4"/>
      <c r="F447" s="19" t="str">
        <f aca="false">IF(AND(D447="",E447=""),"",Boshlash!$B$4+SUM($D$5:D447)+SUM($E$5:E447))</f>
        <v/>
      </c>
      <c r="G447" s="5"/>
    </row>
    <row r="448" customFormat="false" ht="15" hidden="false" customHeight="false" outlineLevel="0" collapsed="false">
      <c r="A448" s="18"/>
      <c r="B448" s="5"/>
      <c r="C448" s="5"/>
      <c r="D448" s="4"/>
      <c r="E448" s="4"/>
      <c r="F448" s="19" t="str">
        <f aca="false">IF(AND(D448="",E448=""),"",Boshlash!$B$4+SUM($D$5:D448)+SUM($E$5:E448))</f>
        <v/>
      </c>
      <c r="G448" s="5"/>
    </row>
    <row r="449" customFormat="false" ht="15" hidden="false" customHeight="false" outlineLevel="0" collapsed="false">
      <c r="A449" s="18"/>
      <c r="B449" s="5"/>
      <c r="C449" s="5"/>
      <c r="D449" s="4"/>
      <c r="E449" s="4"/>
      <c r="F449" s="19" t="str">
        <f aca="false">IF(AND(D449="",E449=""),"",Boshlash!$B$4+SUM($D$5:D449)+SUM($E$5:E449))</f>
        <v/>
      </c>
      <c r="G449" s="5"/>
    </row>
    <row r="450" customFormat="false" ht="15" hidden="false" customHeight="false" outlineLevel="0" collapsed="false">
      <c r="A450" s="18"/>
      <c r="B450" s="5"/>
      <c r="C450" s="5"/>
      <c r="D450" s="4"/>
      <c r="E450" s="4"/>
      <c r="F450" s="19" t="str">
        <f aca="false">IF(AND(D450="",E450=""),"",Boshlash!$B$4+SUM($D$5:D450)+SUM($E$5:E450))</f>
        <v/>
      </c>
      <c r="G450" s="5"/>
    </row>
    <row r="451" customFormat="false" ht="15" hidden="false" customHeight="false" outlineLevel="0" collapsed="false">
      <c r="A451" s="18"/>
      <c r="B451" s="5"/>
      <c r="C451" s="5"/>
      <c r="D451" s="4"/>
      <c r="E451" s="4"/>
      <c r="F451" s="19" t="str">
        <f aca="false">IF(AND(D451="",E451=""),"",Boshlash!$B$4+SUM($D$5:D451)+SUM($E$5:E451))</f>
        <v/>
      </c>
      <c r="G451" s="5"/>
    </row>
    <row r="452" customFormat="false" ht="15" hidden="false" customHeight="false" outlineLevel="0" collapsed="false">
      <c r="A452" s="18"/>
      <c r="B452" s="5"/>
      <c r="C452" s="5"/>
      <c r="D452" s="4"/>
      <c r="E452" s="4"/>
      <c r="F452" s="19" t="str">
        <f aca="false">IF(AND(D452="",E452=""),"",Boshlash!$B$4+SUM($D$5:D452)+SUM($E$5:E452))</f>
        <v/>
      </c>
      <c r="G452" s="5"/>
    </row>
    <row r="453" customFormat="false" ht="15" hidden="false" customHeight="false" outlineLevel="0" collapsed="false">
      <c r="A453" s="18"/>
      <c r="B453" s="5"/>
      <c r="C453" s="5"/>
      <c r="D453" s="4"/>
      <c r="E453" s="4"/>
      <c r="F453" s="19" t="str">
        <f aca="false">IF(AND(D453="",E453=""),"",Boshlash!$B$4+SUM($D$5:D453)+SUM($E$5:E453))</f>
        <v/>
      </c>
      <c r="G453" s="5"/>
    </row>
    <row r="454" customFormat="false" ht="15" hidden="false" customHeight="false" outlineLevel="0" collapsed="false">
      <c r="A454" s="18"/>
      <c r="B454" s="5"/>
      <c r="C454" s="5"/>
      <c r="D454" s="4"/>
      <c r="E454" s="4"/>
      <c r="F454" s="19" t="str">
        <f aca="false">IF(AND(D454="",E454=""),"",Boshlash!$B$4+SUM($D$5:D454)+SUM($E$5:E454))</f>
        <v/>
      </c>
      <c r="G454" s="5"/>
    </row>
    <row r="455" customFormat="false" ht="15" hidden="false" customHeight="false" outlineLevel="0" collapsed="false">
      <c r="A455" s="18"/>
      <c r="B455" s="5"/>
      <c r="C455" s="5"/>
      <c r="D455" s="4"/>
      <c r="E455" s="4"/>
      <c r="F455" s="19" t="str">
        <f aca="false">IF(AND(D455="",E455=""),"",Boshlash!$B$4+SUM($D$5:D455)+SUM($E$5:E455))</f>
        <v/>
      </c>
      <c r="G455" s="5"/>
    </row>
    <row r="456" customFormat="false" ht="15" hidden="false" customHeight="false" outlineLevel="0" collapsed="false">
      <c r="A456" s="18"/>
      <c r="B456" s="5"/>
      <c r="C456" s="5"/>
      <c r="D456" s="4"/>
      <c r="E456" s="4"/>
      <c r="F456" s="19" t="str">
        <f aca="false">IF(AND(D456="",E456=""),"",Boshlash!$B$4+SUM($D$5:D456)+SUM($E$5:E456))</f>
        <v/>
      </c>
      <c r="G456" s="5"/>
    </row>
    <row r="457" customFormat="false" ht="15" hidden="false" customHeight="false" outlineLevel="0" collapsed="false">
      <c r="A457" s="18"/>
      <c r="B457" s="5"/>
      <c r="C457" s="5"/>
      <c r="D457" s="4"/>
      <c r="E457" s="4"/>
      <c r="F457" s="19" t="str">
        <f aca="false">IF(AND(D457="",E457=""),"",Boshlash!$B$4+SUM($D$5:D457)+SUM($E$5:E457))</f>
        <v/>
      </c>
      <c r="G457" s="5"/>
    </row>
    <row r="458" customFormat="false" ht="15" hidden="false" customHeight="false" outlineLevel="0" collapsed="false">
      <c r="A458" s="18"/>
      <c r="B458" s="5"/>
      <c r="C458" s="5"/>
      <c r="D458" s="4"/>
      <c r="E458" s="4"/>
      <c r="F458" s="19" t="str">
        <f aca="false">IF(AND(D458="",E458=""),"",Boshlash!$B$4+SUM($D$5:D458)+SUM($E$5:E458))</f>
        <v/>
      </c>
      <c r="G458" s="5"/>
    </row>
    <row r="459" customFormat="false" ht="15" hidden="false" customHeight="false" outlineLevel="0" collapsed="false">
      <c r="A459" s="18"/>
      <c r="B459" s="5"/>
      <c r="C459" s="5"/>
      <c r="D459" s="4"/>
      <c r="E459" s="4"/>
      <c r="F459" s="19" t="str">
        <f aca="false">IF(AND(D459="",E459=""),"",Boshlash!$B$4+SUM($D$5:D459)+SUM($E$5:E459))</f>
        <v/>
      </c>
      <c r="G459" s="5"/>
    </row>
    <row r="460" customFormat="false" ht="15" hidden="false" customHeight="false" outlineLevel="0" collapsed="false">
      <c r="A460" s="18"/>
      <c r="B460" s="5"/>
      <c r="C460" s="5"/>
      <c r="D460" s="4"/>
      <c r="E460" s="4"/>
      <c r="F460" s="19" t="str">
        <f aca="false">IF(AND(D460="",E460=""),"",Boshlash!$B$4+SUM($D$5:D460)+SUM($E$5:E460))</f>
        <v/>
      </c>
      <c r="G460" s="5"/>
    </row>
    <row r="461" customFormat="false" ht="15" hidden="false" customHeight="false" outlineLevel="0" collapsed="false">
      <c r="A461" s="18"/>
      <c r="B461" s="5"/>
      <c r="C461" s="5"/>
      <c r="D461" s="4"/>
      <c r="E461" s="4"/>
      <c r="F461" s="19" t="str">
        <f aca="false">IF(AND(D461="",E461=""),"",Boshlash!$B$4+SUM($D$5:D461)+SUM($E$5:E461))</f>
        <v/>
      </c>
      <c r="G461" s="5"/>
    </row>
    <row r="462" customFormat="false" ht="15" hidden="false" customHeight="false" outlineLevel="0" collapsed="false">
      <c r="A462" s="18"/>
      <c r="B462" s="5"/>
      <c r="C462" s="5"/>
      <c r="D462" s="4"/>
      <c r="E462" s="4"/>
      <c r="F462" s="19" t="str">
        <f aca="false">IF(AND(D462="",E462=""),"",Boshlash!$B$4+SUM($D$5:D462)+SUM($E$5:E462))</f>
        <v/>
      </c>
      <c r="G462" s="5"/>
    </row>
    <row r="463" customFormat="false" ht="15" hidden="false" customHeight="false" outlineLevel="0" collapsed="false">
      <c r="A463" s="18"/>
      <c r="B463" s="5"/>
      <c r="C463" s="5"/>
      <c r="D463" s="4"/>
      <c r="E463" s="4"/>
      <c r="F463" s="19" t="str">
        <f aca="false">IF(AND(D463="",E463=""),"",Boshlash!$B$4+SUM($D$5:D463)+SUM($E$5:E463))</f>
        <v/>
      </c>
      <c r="G463" s="5"/>
    </row>
    <row r="464" customFormat="false" ht="15" hidden="false" customHeight="false" outlineLevel="0" collapsed="false">
      <c r="A464" s="18"/>
      <c r="B464" s="5"/>
      <c r="C464" s="5"/>
      <c r="D464" s="4"/>
      <c r="E464" s="4"/>
      <c r="F464" s="19" t="str">
        <f aca="false">IF(AND(D464="",E464=""),"",Boshlash!$B$4+SUM($D$5:D464)+SUM($E$5:E464))</f>
        <v/>
      </c>
      <c r="G464" s="5"/>
    </row>
    <row r="465" customFormat="false" ht="15" hidden="false" customHeight="false" outlineLevel="0" collapsed="false">
      <c r="A465" s="18"/>
      <c r="B465" s="5"/>
      <c r="C465" s="5"/>
      <c r="D465" s="4"/>
      <c r="E465" s="4"/>
      <c r="F465" s="19" t="str">
        <f aca="false">IF(AND(D465="",E465=""),"",Boshlash!$B$4+SUM($D$5:D465)+SUM($E$5:E465))</f>
        <v/>
      </c>
      <c r="G465" s="5"/>
    </row>
    <row r="466" customFormat="false" ht="15" hidden="false" customHeight="false" outlineLevel="0" collapsed="false">
      <c r="A466" s="18"/>
      <c r="B466" s="5"/>
      <c r="C466" s="5"/>
      <c r="D466" s="4"/>
      <c r="E466" s="4"/>
      <c r="F466" s="19" t="str">
        <f aca="false">IF(AND(D466="",E466=""),"",Boshlash!$B$4+SUM($D$5:D466)+SUM($E$5:E466))</f>
        <v/>
      </c>
      <c r="G466" s="5"/>
    </row>
    <row r="467" customFormat="false" ht="15" hidden="false" customHeight="false" outlineLevel="0" collapsed="false">
      <c r="A467" s="18"/>
      <c r="B467" s="5"/>
      <c r="C467" s="5"/>
      <c r="D467" s="4"/>
      <c r="E467" s="4"/>
      <c r="F467" s="19" t="str">
        <f aca="false">IF(AND(D467="",E467=""),"",Boshlash!$B$4+SUM($D$5:D467)+SUM($E$5:E467))</f>
        <v/>
      </c>
      <c r="G467" s="5"/>
    </row>
    <row r="468" customFormat="false" ht="15" hidden="false" customHeight="false" outlineLevel="0" collapsed="false">
      <c r="A468" s="18"/>
      <c r="B468" s="5"/>
      <c r="C468" s="5"/>
      <c r="D468" s="4"/>
      <c r="E468" s="4"/>
      <c r="F468" s="19" t="str">
        <f aca="false">IF(AND(D468="",E468=""),"",Boshlash!$B$4+SUM($D$5:D468)+SUM($E$5:E468))</f>
        <v/>
      </c>
      <c r="G468" s="5"/>
    </row>
    <row r="469" customFormat="false" ht="15" hidden="false" customHeight="false" outlineLevel="0" collapsed="false">
      <c r="A469" s="18"/>
      <c r="B469" s="5"/>
      <c r="C469" s="5"/>
      <c r="D469" s="4"/>
      <c r="E469" s="4"/>
      <c r="F469" s="19" t="str">
        <f aca="false">IF(AND(D469="",E469=""),"",Boshlash!$B$4+SUM($D$5:D469)+SUM($E$5:E469))</f>
        <v/>
      </c>
      <c r="G469" s="5"/>
    </row>
    <row r="470" customFormat="false" ht="15" hidden="false" customHeight="false" outlineLevel="0" collapsed="false">
      <c r="A470" s="18"/>
      <c r="B470" s="5"/>
      <c r="C470" s="5"/>
      <c r="D470" s="4"/>
      <c r="E470" s="4"/>
      <c r="F470" s="19" t="str">
        <f aca="false">IF(AND(D470="",E470=""),"",Boshlash!$B$4+SUM($D$5:D470)+SUM($E$5:E470))</f>
        <v/>
      </c>
      <c r="G470" s="5"/>
    </row>
    <row r="471" customFormat="false" ht="15" hidden="false" customHeight="false" outlineLevel="0" collapsed="false">
      <c r="A471" s="18"/>
      <c r="B471" s="5"/>
      <c r="C471" s="5"/>
      <c r="D471" s="4"/>
      <c r="E471" s="4"/>
      <c r="F471" s="19" t="str">
        <f aca="false">IF(AND(D471="",E471=""),"",Boshlash!$B$4+SUM($D$5:D471)+SUM($E$5:E471))</f>
        <v/>
      </c>
      <c r="G471" s="5"/>
    </row>
    <row r="472" customFormat="false" ht="15" hidden="false" customHeight="false" outlineLevel="0" collapsed="false">
      <c r="A472" s="18"/>
      <c r="B472" s="5"/>
      <c r="C472" s="5"/>
      <c r="D472" s="4"/>
      <c r="E472" s="4"/>
      <c r="F472" s="19" t="str">
        <f aca="false">IF(AND(D472="",E472=""),"",Boshlash!$B$4+SUM($D$5:D472)+SUM($E$5:E472))</f>
        <v/>
      </c>
      <c r="G472" s="5"/>
    </row>
    <row r="473" customFormat="false" ht="15" hidden="false" customHeight="false" outlineLevel="0" collapsed="false">
      <c r="A473" s="18"/>
      <c r="B473" s="5"/>
      <c r="C473" s="5"/>
      <c r="D473" s="4"/>
      <c r="E473" s="4"/>
      <c r="F473" s="19" t="str">
        <f aca="false">IF(AND(D473="",E473=""),"",Boshlash!$B$4+SUM($D$5:D473)+SUM($E$5:E473))</f>
        <v/>
      </c>
      <c r="G473" s="5"/>
    </row>
    <row r="474" customFormat="false" ht="15" hidden="false" customHeight="false" outlineLevel="0" collapsed="false">
      <c r="A474" s="18"/>
      <c r="B474" s="5"/>
      <c r="C474" s="5"/>
      <c r="D474" s="4"/>
      <c r="E474" s="4"/>
      <c r="F474" s="19" t="str">
        <f aca="false">IF(AND(D474="",E474=""),"",Boshlash!$B$4+SUM($D$5:D474)+SUM($E$5:E474))</f>
        <v/>
      </c>
      <c r="G474" s="5"/>
    </row>
    <row r="475" customFormat="false" ht="15" hidden="false" customHeight="false" outlineLevel="0" collapsed="false">
      <c r="A475" s="18"/>
      <c r="B475" s="5"/>
      <c r="C475" s="5"/>
      <c r="D475" s="4"/>
      <c r="E475" s="4"/>
      <c r="F475" s="19" t="str">
        <f aca="false">IF(AND(D475="",E475=""),"",Boshlash!$B$4+SUM($D$5:D475)+SUM($E$5:E475))</f>
        <v/>
      </c>
      <c r="G475" s="5"/>
    </row>
    <row r="476" customFormat="false" ht="15" hidden="false" customHeight="false" outlineLevel="0" collapsed="false">
      <c r="A476" s="18"/>
      <c r="B476" s="5"/>
      <c r="C476" s="5"/>
      <c r="D476" s="4"/>
      <c r="E476" s="4"/>
      <c r="F476" s="19" t="str">
        <f aca="false">IF(AND(D476="",E476=""),"",Boshlash!$B$4+SUM($D$5:D476)+SUM($E$5:E476))</f>
        <v/>
      </c>
      <c r="G476" s="5"/>
    </row>
    <row r="477" customFormat="false" ht="15" hidden="false" customHeight="false" outlineLevel="0" collapsed="false">
      <c r="A477" s="18"/>
      <c r="B477" s="5"/>
      <c r="C477" s="5"/>
      <c r="D477" s="4"/>
      <c r="E477" s="4"/>
      <c r="F477" s="19" t="str">
        <f aca="false">IF(AND(D477="",E477=""),"",Boshlash!$B$4+SUM($D$5:D477)+SUM($E$5:E477))</f>
        <v/>
      </c>
      <c r="G477" s="5"/>
    </row>
    <row r="478" customFormat="false" ht="15" hidden="false" customHeight="false" outlineLevel="0" collapsed="false">
      <c r="A478" s="18"/>
      <c r="B478" s="5"/>
      <c r="C478" s="5"/>
      <c r="D478" s="4"/>
      <c r="E478" s="4"/>
      <c r="F478" s="19" t="str">
        <f aca="false">IF(AND(D478="",E478=""),"",Boshlash!$B$4+SUM($D$5:D478)+SUM($E$5:E478))</f>
        <v/>
      </c>
      <c r="G478" s="5"/>
    </row>
    <row r="479" customFormat="false" ht="15" hidden="false" customHeight="false" outlineLevel="0" collapsed="false">
      <c r="A479" s="18"/>
      <c r="B479" s="5"/>
      <c r="C479" s="5"/>
      <c r="D479" s="4"/>
      <c r="E479" s="4"/>
      <c r="F479" s="19" t="str">
        <f aca="false">IF(AND(D479="",E479=""),"",Boshlash!$B$4+SUM($D$5:D479)+SUM($E$5:E479))</f>
        <v/>
      </c>
      <c r="G479" s="5"/>
    </row>
    <row r="480" customFormat="false" ht="15" hidden="false" customHeight="false" outlineLevel="0" collapsed="false">
      <c r="A480" s="18"/>
      <c r="B480" s="5"/>
      <c r="C480" s="5"/>
      <c r="D480" s="4"/>
      <c r="E480" s="4"/>
      <c r="F480" s="19" t="str">
        <f aca="false">IF(AND(D480="",E480=""),"",Boshlash!$B$4+SUM($D$5:D480)+SUM($E$5:E480))</f>
        <v/>
      </c>
      <c r="G480" s="5"/>
    </row>
    <row r="481" customFormat="false" ht="15" hidden="false" customHeight="false" outlineLevel="0" collapsed="false">
      <c r="A481" s="18"/>
      <c r="B481" s="5"/>
      <c r="C481" s="5"/>
      <c r="D481" s="4"/>
      <c r="E481" s="4"/>
      <c r="F481" s="19" t="str">
        <f aca="false">IF(AND(D481="",E481=""),"",Boshlash!$B$4+SUM($D$5:D481)+SUM($E$5:E481))</f>
        <v/>
      </c>
      <c r="G481" s="5"/>
    </row>
    <row r="482" customFormat="false" ht="15" hidden="false" customHeight="false" outlineLevel="0" collapsed="false">
      <c r="A482" s="18"/>
      <c r="B482" s="5"/>
      <c r="C482" s="5"/>
      <c r="D482" s="4"/>
      <c r="E482" s="4"/>
      <c r="F482" s="19" t="str">
        <f aca="false">IF(AND(D482="",E482=""),"",Boshlash!$B$4+SUM($D$5:D482)+SUM($E$5:E482))</f>
        <v/>
      </c>
      <c r="G482" s="5"/>
    </row>
    <row r="483" customFormat="false" ht="15" hidden="false" customHeight="false" outlineLevel="0" collapsed="false">
      <c r="A483" s="18"/>
      <c r="B483" s="5"/>
      <c r="C483" s="5"/>
      <c r="D483" s="4"/>
      <c r="E483" s="4"/>
      <c r="F483" s="19" t="str">
        <f aca="false">IF(AND(D483="",E483=""),"",Boshlash!$B$4+SUM($D$5:D483)+SUM($E$5:E483))</f>
        <v/>
      </c>
      <c r="G483" s="5"/>
    </row>
    <row r="484" customFormat="false" ht="15" hidden="false" customHeight="false" outlineLevel="0" collapsed="false">
      <c r="A484" s="18"/>
      <c r="B484" s="5"/>
      <c r="C484" s="5"/>
      <c r="D484" s="4"/>
      <c r="E484" s="4"/>
      <c r="F484" s="19" t="str">
        <f aca="false">IF(AND(D484="",E484=""),"",Boshlash!$B$4+SUM($D$5:D484)+SUM($E$5:E484))</f>
        <v/>
      </c>
      <c r="G484" s="5"/>
    </row>
    <row r="485" customFormat="false" ht="15" hidden="false" customHeight="false" outlineLevel="0" collapsed="false">
      <c r="A485" s="18"/>
      <c r="B485" s="5"/>
      <c r="C485" s="5"/>
      <c r="D485" s="4"/>
      <c r="E485" s="4"/>
      <c r="F485" s="19" t="str">
        <f aca="false">IF(AND(D485="",E485=""),"",Boshlash!$B$4+SUM($D$5:D485)+SUM($E$5:E485))</f>
        <v/>
      </c>
      <c r="G485" s="5"/>
    </row>
    <row r="486" customFormat="false" ht="15" hidden="false" customHeight="false" outlineLevel="0" collapsed="false">
      <c r="A486" s="18"/>
      <c r="B486" s="5"/>
      <c r="C486" s="5"/>
      <c r="D486" s="4"/>
      <c r="E486" s="4"/>
      <c r="F486" s="19" t="str">
        <f aca="false">IF(AND(D486="",E486=""),"",Boshlash!$B$4+SUM($D$5:D486)+SUM($E$5:E486))</f>
        <v/>
      </c>
      <c r="G486" s="5"/>
    </row>
    <row r="487" customFormat="false" ht="15" hidden="false" customHeight="false" outlineLevel="0" collapsed="false">
      <c r="A487" s="18"/>
      <c r="B487" s="5"/>
      <c r="C487" s="5"/>
      <c r="D487" s="4"/>
      <c r="E487" s="4"/>
      <c r="F487" s="19" t="str">
        <f aca="false">IF(AND(D487="",E487=""),"",Boshlash!$B$4+SUM($D$5:D487)+SUM($E$5:E487))</f>
        <v/>
      </c>
      <c r="G487" s="5"/>
    </row>
    <row r="488" customFormat="false" ht="15" hidden="false" customHeight="false" outlineLevel="0" collapsed="false">
      <c r="A488" s="18"/>
      <c r="B488" s="5"/>
      <c r="C488" s="5"/>
      <c r="D488" s="4"/>
      <c r="E488" s="4"/>
      <c r="F488" s="19" t="str">
        <f aca="false">IF(AND(D488="",E488=""),"",Boshlash!$B$4+SUM($D$5:D488)+SUM($E$5:E488))</f>
        <v/>
      </c>
      <c r="G488" s="5"/>
    </row>
    <row r="489" customFormat="false" ht="15" hidden="false" customHeight="false" outlineLevel="0" collapsed="false">
      <c r="A489" s="18"/>
      <c r="B489" s="5"/>
      <c r="C489" s="5"/>
      <c r="D489" s="4"/>
      <c r="E489" s="4"/>
      <c r="F489" s="19" t="str">
        <f aca="false">IF(AND(D489="",E489=""),"",Boshlash!$B$4+SUM($D$5:D489)+SUM($E$5:E489))</f>
        <v/>
      </c>
      <c r="G489" s="5"/>
    </row>
    <row r="490" customFormat="false" ht="15" hidden="false" customHeight="false" outlineLevel="0" collapsed="false">
      <c r="A490" s="18"/>
      <c r="B490" s="5"/>
      <c r="C490" s="5"/>
      <c r="D490" s="4"/>
      <c r="E490" s="4"/>
      <c r="F490" s="19" t="str">
        <f aca="false">IF(AND(D490="",E490=""),"",Boshlash!$B$4+SUM($D$5:D490)+SUM($E$5:E490))</f>
        <v/>
      </c>
      <c r="G490" s="5"/>
    </row>
    <row r="491" customFormat="false" ht="15" hidden="false" customHeight="false" outlineLevel="0" collapsed="false">
      <c r="A491" s="18"/>
      <c r="B491" s="5"/>
      <c r="C491" s="5"/>
      <c r="D491" s="4"/>
      <c r="E491" s="4"/>
      <c r="F491" s="19" t="str">
        <f aca="false">IF(AND(D491="",E491=""),"",Boshlash!$B$4+SUM($D$5:D491)+SUM($E$5:E491))</f>
        <v/>
      </c>
      <c r="G491" s="5"/>
    </row>
    <row r="492" customFormat="false" ht="15" hidden="false" customHeight="false" outlineLevel="0" collapsed="false">
      <c r="A492" s="18"/>
      <c r="B492" s="5"/>
      <c r="C492" s="5"/>
      <c r="D492" s="4"/>
      <c r="E492" s="4"/>
      <c r="F492" s="19" t="str">
        <f aca="false">IF(AND(D492="",E492=""),"",Boshlash!$B$4+SUM($D$5:D492)+SUM($E$5:E492))</f>
        <v/>
      </c>
      <c r="G492" s="5"/>
    </row>
    <row r="493" customFormat="false" ht="15" hidden="false" customHeight="false" outlineLevel="0" collapsed="false">
      <c r="A493" s="18"/>
      <c r="B493" s="5"/>
      <c r="C493" s="5"/>
      <c r="D493" s="4"/>
      <c r="E493" s="4"/>
      <c r="F493" s="19" t="str">
        <f aca="false">IF(AND(D493="",E493=""),"",Boshlash!$B$4+SUM($D$5:D493)+SUM($E$5:E493))</f>
        <v/>
      </c>
      <c r="G493" s="5"/>
    </row>
    <row r="494" customFormat="false" ht="15" hidden="false" customHeight="false" outlineLevel="0" collapsed="false">
      <c r="A494" s="18"/>
      <c r="B494" s="5"/>
      <c r="C494" s="5"/>
      <c r="D494" s="4"/>
      <c r="E494" s="4"/>
      <c r="F494" s="19" t="str">
        <f aca="false">IF(AND(D494="",E494=""),"",Boshlash!$B$4+SUM($D$5:D494)+SUM($E$5:E494))</f>
        <v/>
      </c>
      <c r="G494" s="5"/>
    </row>
    <row r="495" customFormat="false" ht="15" hidden="false" customHeight="false" outlineLevel="0" collapsed="false">
      <c r="A495" s="18"/>
      <c r="B495" s="5"/>
      <c r="C495" s="5"/>
      <c r="D495" s="4"/>
      <c r="E495" s="4"/>
      <c r="F495" s="19" t="str">
        <f aca="false">IF(AND(D495="",E495=""),"",Boshlash!$B$4+SUM($D$5:D495)+SUM($E$5:E495))</f>
        <v/>
      </c>
      <c r="G495" s="5"/>
    </row>
    <row r="496" customFormat="false" ht="15" hidden="false" customHeight="false" outlineLevel="0" collapsed="false">
      <c r="A496" s="18"/>
      <c r="B496" s="5"/>
      <c r="C496" s="5"/>
      <c r="D496" s="4"/>
      <c r="E496" s="4"/>
      <c r="F496" s="19" t="str">
        <f aca="false">IF(AND(D496="",E496=""),"",Boshlash!$B$4+SUM($D$5:D496)+SUM($E$5:E496))</f>
        <v/>
      </c>
      <c r="G496" s="5"/>
    </row>
    <row r="497" customFormat="false" ht="15" hidden="false" customHeight="false" outlineLevel="0" collapsed="false">
      <c r="A497" s="18"/>
      <c r="B497" s="5"/>
      <c r="C497" s="5"/>
      <c r="D497" s="4"/>
      <c r="E497" s="4"/>
      <c r="F497" s="19" t="str">
        <f aca="false">IF(AND(D497="",E497=""),"",Boshlash!$B$4+SUM($D$5:D497)+SUM($E$5:E497))</f>
        <v/>
      </c>
      <c r="G497" s="5"/>
    </row>
    <row r="498" customFormat="false" ht="15" hidden="false" customHeight="false" outlineLevel="0" collapsed="false">
      <c r="A498" s="18"/>
      <c r="B498" s="5"/>
      <c r="C498" s="5"/>
      <c r="D498" s="4"/>
      <c r="E498" s="4"/>
      <c r="F498" s="19" t="str">
        <f aca="false">IF(AND(D498="",E498=""),"",Boshlash!$B$4+SUM($D$5:D498)+SUM($E$5:E498))</f>
        <v/>
      </c>
      <c r="G498" s="5"/>
    </row>
    <row r="499" customFormat="false" ht="15" hidden="false" customHeight="false" outlineLevel="0" collapsed="false">
      <c r="A499" s="18"/>
      <c r="B499" s="5"/>
      <c r="C499" s="5"/>
      <c r="D499" s="4"/>
      <c r="E499" s="4"/>
      <c r="F499" s="19" t="str">
        <f aca="false">IF(AND(D499="",E499=""),"",Boshlash!$B$4+SUM($D$5:D499)+SUM($E$5:E499))</f>
        <v/>
      </c>
      <c r="G499" s="5"/>
    </row>
    <row r="500" customFormat="false" ht="15" hidden="false" customHeight="false" outlineLevel="0" collapsed="false">
      <c r="A500" s="18"/>
      <c r="B500" s="5"/>
      <c r="C500" s="5"/>
      <c r="D500" s="4"/>
      <c r="E500" s="4"/>
      <c r="F500" s="19" t="str">
        <f aca="false">IF(AND(D500="",E500=""),"",Boshlash!$B$4+SUM($D$5:D500)+SUM($E$5:E500))</f>
        <v/>
      </c>
      <c r="G500" s="5"/>
    </row>
    <row r="501" customFormat="false" ht="15" hidden="false" customHeight="false" outlineLevel="0" collapsed="false">
      <c r="A501" s="18"/>
      <c r="B501" s="5"/>
      <c r="C501" s="5"/>
      <c r="D501" s="4"/>
      <c r="E501" s="4"/>
      <c r="F501" s="19" t="str">
        <f aca="false">IF(AND(D501="",E501=""),"",Boshlash!$B$4+SUM($D$5:D501)+SUM($E$5:E501))</f>
        <v/>
      </c>
      <c r="G501" s="5"/>
    </row>
    <row r="502" customFormat="false" ht="15" hidden="false" customHeight="false" outlineLevel="0" collapsed="false">
      <c r="A502" s="18"/>
      <c r="B502" s="5"/>
      <c r="C502" s="5"/>
      <c r="D502" s="4"/>
      <c r="E502" s="4"/>
      <c r="F502" s="19" t="str">
        <f aca="false">IF(AND(D502="",E502=""),"",Boshlash!$B$4+SUM($D$5:D502)+SUM($E$5:E502))</f>
        <v/>
      </c>
      <c r="G502" s="5"/>
    </row>
    <row r="503" customFormat="false" ht="15" hidden="false" customHeight="false" outlineLevel="0" collapsed="false">
      <c r="A503" s="18"/>
      <c r="B503" s="5"/>
      <c r="C503" s="5"/>
      <c r="D503" s="4"/>
      <c r="E503" s="4"/>
      <c r="F503" s="19" t="str">
        <f aca="false">IF(AND(D503="",E503=""),"",Boshlash!$B$4+SUM($D$5:D503)+SUM($E$5:E503))</f>
        <v/>
      </c>
      <c r="G503" s="5"/>
    </row>
    <row r="504" customFormat="false" ht="15" hidden="false" customHeight="false" outlineLevel="0" collapsed="false">
      <c r="A504" s="18"/>
      <c r="B504" s="5"/>
      <c r="C504" s="5"/>
      <c r="D504" s="4"/>
      <c r="E504" s="4"/>
      <c r="F504" s="19" t="str">
        <f aca="false">IF(AND(D504="",E504=""),"",Boshlash!$B$4+SUM($D$5:D504)+SUM($E$5:E504))</f>
        <v/>
      </c>
      <c r="G504" s="5"/>
    </row>
  </sheetData>
  <conditionalFormatting sqref="F5:F504">
    <cfRule type="cellIs" priority="2" operator="lessThan" aboveAverage="0" equalAverage="0" bottom="0" percent="0" rank="0" text="" dxfId="0">
      <formula>0</formula>
    </cfRule>
  </conditionalFormatting>
  <dataValidations count="4">
    <dataValidation allowBlank="true" errorStyle="stop" operator="between" showDropDown="false" showErrorMessage="false" showInputMessage="false" sqref="C5:C504" type="list">
      <formula1>Boshlash!$A$16:$A$32</formula1>
      <formula2>0</formula2>
    </dataValidation>
    <dataValidation allowBlank="true" errorStyle="stop" operator="between" showDropDown="false" showErrorMessage="false" showInputMessage="false" sqref="G5:G504" type="list">
      <formula1>Qarzdorlar!$A$7:$A$106</formula1>
      <formula2>0</formula2>
    </dataValidation>
    <dataValidation allowBlank="true" error="Kirim musbat son bo'lishi kerak" errorStyle="stop" operator="greaterThanOrEqual" showDropDown="false" showErrorMessage="false" showInputMessage="false" sqref="D5:D504" type="decimal">
      <formula1>0</formula1>
      <formula2>0</formula2>
    </dataValidation>
    <dataValidation allowBlank="true" error="Chiqim minus bilan yozilsin, masalan -200" errorStyle="stop" operator="lessThanOrEqual" showDropDown="false" showErrorMessage="false" showInputMessage="false" sqref="E5:E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31.5" hidden="false" customHeight="true" outlineLevel="0" collapsed="false">
      <c r="A4" s="17" t="s">
        <v>51</v>
      </c>
      <c r="B4" s="17" t="s">
        <v>62</v>
      </c>
      <c r="C4" s="17" t="s">
        <v>52</v>
      </c>
      <c r="D4" s="17" t="s">
        <v>63</v>
      </c>
    </row>
    <row r="5" customFormat="false" ht="15" hidden="false" customHeight="false" outlineLevel="0" collapsed="false">
      <c r="A5" s="18" t="n">
        <v>46280</v>
      </c>
      <c r="B5" s="5" t="s">
        <v>58</v>
      </c>
      <c r="C5" s="5" t="s">
        <v>64</v>
      </c>
      <c r="D5" s="4" t="n">
        <v>1200</v>
      </c>
    </row>
    <row r="6" customFormat="false" ht="15" hidden="false" customHeight="false" outlineLevel="0" collapsed="false">
      <c r="A6" s="18"/>
      <c r="B6" s="5"/>
      <c r="C6" s="5"/>
      <c r="D6" s="4"/>
    </row>
    <row r="7" customFormat="false" ht="15" hidden="false" customHeight="false" outlineLevel="0" collapsed="false">
      <c r="A7" s="18"/>
      <c r="B7" s="5"/>
      <c r="C7" s="5"/>
      <c r="D7" s="4"/>
    </row>
    <row r="8" customFormat="false" ht="15" hidden="false" customHeight="false" outlineLevel="0" collapsed="false">
      <c r="A8" s="18"/>
      <c r="B8" s="5"/>
      <c r="C8" s="5"/>
      <c r="D8" s="4"/>
    </row>
    <row r="9" customFormat="false" ht="15" hidden="false" customHeight="false" outlineLevel="0" collapsed="false">
      <c r="A9" s="18"/>
      <c r="B9" s="5"/>
      <c r="C9" s="5"/>
      <c r="D9" s="4"/>
    </row>
    <row r="10" customFormat="false" ht="15" hidden="false" customHeight="false" outlineLevel="0" collapsed="false">
      <c r="A10" s="18"/>
      <c r="B10" s="5"/>
      <c r="C10" s="5"/>
      <c r="D10" s="4"/>
    </row>
    <row r="11" customFormat="false" ht="15" hidden="false" customHeight="false" outlineLevel="0" collapsed="false">
      <c r="A11" s="18"/>
      <c r="B11" s="5"/>
      <c r="C11" s="5"/>
      <c r="D11" s="4"/>
    </row>
    <row r="12" customFormat="false" ht="15" hidden="false" customHeight="false" outlineLevel="0" collapsed="false">
      <c r="A12" s="18"/>
      <c r="B12" s="5"/>
      <c r="C12" s="5"/>
      <c r="D12" s="4"/>
    </row>
    <row r="13" customFormat="false" ht="15" hidden="false" customHeight="false" outlineLevel="0" collapsed="false">
      <c r="A13" s="18"/>
      <c r="B13" s="5"/>
      <c r="C13" s="5"/>
      <c r="D13" s="4"/>
    </row>
    <row r="14" customFormat="false" ht="15" hidden="false" customHeight="false" outlineLevel="0" collapsed="false">
      <c r="A14" s="18"/>
      <c r="B14" s="5"/>
      <c r="C14" s="5"/>
      <c r="D14" s="4"/>
    </row>
    <row r="15" customFormat="false" ht="15" hidden="false" customHeight="false" outlineLevel="0" collapsed="false">
      <c r="A15" s="18"/>
      <c r="B15" s="5"/>
      <c r="C15" s="5"/>
      <c r="D15" s="4"/>
    </row>
    <row r="16" customFormat="false" ht="15" hidden="false" customHeight="false" outlineLevel="0" collapsed="false">
      <c r="A16" s="18"/>
      <c r="B16" s="5"/>
      <c r="C16" s="5"/>
      <c r="D16" s="4"/>
    </row>
    <row r="17" customFormat="false" ht="15" hidden="false" customHeight="false" outlineLevel="0" collapsed="false">
      <c r="A17" s="18"/>
      <c r="B17" s="5"/>
      <c r="C17" s="5"/>
      <c r="D17" s="4"/>
    </row>
    <row r="18" customFormat="false" ht="15" hidden="false" customHeight="false" outlineLevel="0" collapsed="false">
      <c r="A18" s="18"/>
      <c r="B18" s="5"/>
      <c r="C18" s="5"/>
      <c r="D18" s="4"/>
    </row>
    <row r="19" customFormat="false" ht="15" hidden="false" customHeight="false" outlineLevel="0" collapsed="false">
      <c r="A19" s="18"/>
      <c r="B19" s="5"/>
      <c r="C19" s="5"/>
      <c r="D19" s="4"/>
    </row>
    <row r="20" customFormat="false" ht="15" hidden="false" customHeight="false" outlineLevel="0" collapsed="false">
      <c r="A20" s="18"/>
      <c r="B20" s="5"/>
      <c r="C20" s="5"/>
      <c r="D20" s="4"/>
    </row>
    <row r="21" customFormat="false" ht="15" hidden="false" customHeight="false" outlineLevel="0" collapsed="false">
      <c r="A21" s="18"/>
      <c r="B21" s="5"/>
      <c r="C21" s="5"/>
      <c r="D21" s="4"/>
    </row>
    <row r="22" customFormat="false" ht="15" hidden="false" customHeight="false" outlineLevel="0" collapsed="false">
      <c r="A22" s="18"/>
      <c r="B22" s="5"/>
      <c r="C22" s="5"/>
      <c r="D22" s="4"/>
    </row>
    <row r="23" customFormat="false" ht="15" hidden="false" customHeight="false" outlineLevel="0" collapsed="false">
      <c r="A23" s="18"/>
      <c r="B23" s="5"/>
      <c r="C23" s="5"/>
      <c r="D23" s="4"/>
    </row>
    <row r="24" customFormat="false" ht="15" hidden="false" customHeight="false" outlineLevel="0" collapsed="false">
      <c r="A24" s="18"/>
      <c r="B24" s="5"/>
      <c r="C24" s="5"/>
      <c r="D24" s="4"/>
    </row>
    <row r="25" customFormat="false" ht="15" hidden="false" customHeight="false" outlineLevel="0" collapsed="false">
      <c r="A25" s="18"/>
      <c r="B25" s="5"/>
      <c r="C25" s="5"/>
      <c r="D25" s="4"/>
    </row>
    <row r="26" customFormat="false" ht="15" hidden="false" customHeight="false" outlineLevel="0" collapsed="false">
      <c r="A26" s="18"/>
      <c r="B26" s="5"/>
      <c r="C26" s="5"/>
      <c r="D26" s="4"/>
    </row>
    <row r="27" customFormat="false" ht="15" hidden="false" customHeight="false" outlineLevel="0" collapsed="false">
      <c r="A27" s="18"/>
      <c r="B27" s="5"/>
      <c r="C27" s="5"/>
      <c r="D27" s="4"/>
    </row>
    <row r="28" customFormat="false" ht="15" hidden="false" customHeight="false" outlineLevel="0" collapsed="false">
      <c r="A28" s="18"/>
      <c r="B28" s="5"/>
      <c r="C28" s="5"/>
      <c r="D28" s="4"/>
    </row>
    <row r="29" customFormat="false" ht="15" hidden="false" customHeight="false" outlineLevel="0" collapsed="false">
      <c r="A29" s="18"/>
      <c r="B29" s="5"/>
      <c r="C29" s="5"/>
      <c r="D29" s="4"/>
    </row>
    <row r="30" customFormat="false" ht="15" hidden="false" customHeight="false" outlineLevel="0" collapsed="false">
      <c r="A30" s="18"/>
      <c r="B30" s="5"/>
      <c r="C30" s="5"/>
      <c r="D30" s="4"/>
    </row>
    <row r="31" customFormat="false" ht="15" hidden="false" customHeight="false" outlineLevel="0" collapsed="false">
      <c r="A31" s="18"/>
      <c r="B31" s="5"/>
      <c r="C31" s="5"/>
      <c r="D31" s="4"/>
    </row>
    <row r="32" customFormat="false" ht="15" hidden="false" customHeight="false" outlineLevel="0" collapsed="false">
      <c r="A32" s="18"/>
      <c r="B32" s="5"/>
      <c r="C32" s="5"/>
      <c r="D32" s="4"/>
    </row>
    <row r="33" customFormat="false" ht="15" hidden="false" customHeight="false" outlineLevel="0" collapsed="false">
      <c r="A33" s="18"/>
      <c r="B33" s="5"/>
      <c r="C33" s="5"/>
      <c r="D33" s="4"/>
    </row>
    <row r="34" customFormat="false" ht="15" hidden="false" customHeight="false" outlineLevel="0" collapsed="false">
      <c r="A34" s="18"/>
      <c r="B34" s="5"/>
      <c r="C34" s="5"/>
      <c r="D34" s="4"/>
    </row>
    <row r="35" customFormat="false" ht="15" hidden="false" customHeight="false" outlineLevel="0" collapsed="false">
      <c r="A35" s="18"/>
      <c r="B35" s="5"/>
      <c r="C35" s="5"/>
      <c r="D35" s="4"/>
    </row>
    <row r="36" customFormat="false" ht="15" hidden="false" customHeight="false" outlineLevel="0" collapsed="false">
      <c r="A36" s="18"/>
      <c r="B36" s="5"/>
      <c r="C36" s="5"/>
      <c r="D36" s="4"/>
    </row>
    <row r="37" customFormat="false" ht="15" hidden="false" customHeight="false" outlineLevel="0" collapsed="false">
      <c r="A37" s="18"/>
      <c r="B37" s="5"/>
      <c r="C37" s="5"/>
      <c r="D37" s="4"/>
    </row>
    <row r="38" customFormat="false" ht="15" hidden="false" customHeight="false" outlineLevel="0" collapsed="false">
      <c r="A38" s="18"/>
      <c r="B38" s="5"/>
      <c r="C38" s="5"/>
      <c r="D38" s="4"/>
    </row>
    <row r="39" customFormat="false" ht="15" hidden="false" customHeight="false" outlineLevel="0" collapsed="false">
      <c r="A39" s="18"/>
      <c r="B39" s="5"/>
      <c r="C39" s="5"/>
      <c r="D39" s="4"/>
    </row>
    <row r="40" customFormat="false" ht="15" hidden="false" customHeight="false" outlineLevel="0" collapsed="false">
      <c r="A40" s="18"/>
      <c r="B40" s="5"/>
      <c r="C40" s="5"/>
      <c r="D40" s="4"/>
    </row>
    <row r="41" customFormat="false" ht="15" hidden="false" customHeight="false" outlineLevel="0" collapsed="false">
      <c r="A41" s="18"/>
      <c r="B41" s="5"/>
      <c r="C41" s="5"/>
      <c r="D41" s="4"/>
    </row>
    <row r="42" customFormat="false" ht="15" hidden="false" customHeight="false" outlineLevel="0" collapsed="false">
      <c r="A42" s="18"/>
      <c r="B42" s="5"/>
      <c r="C42" s="5"/>
      <c r="D42" s="4"/>
    </row>
    <row r="43" customFormat="false" ht="15" hidden="false" customHeight="false" outlineLevel="0" collapsed="false">
      <c r="A43" s="18"/>
      <c r="B43" s="5"/>
      <c r="C43" s="5"/>
      <c r="D43" s="4"/>
    </row>
    <row r="44" customFormat="false" ht="15" hidden="false" customHeight="false" outlineLevel="0" collapsed="false">
      <c r="A44" s="18"/>
      <c r="B44" s="5"/>
      <c r="C44" s="5"/>
      <c r="D44" s="4"/>
    </row>
    <row r="45" customFormat="false" ht="15" hidden="false" customHeight="false" outlineLevel="0" collapsed="false">
      <c r="A45" s="18"/>
      <c r="B45" s="5"/>
      <c r="C45" s="5"/>
      <c r="D45" s="4"/>
    </row>
    <row r="46" customFormat="false" ht="15" hidden="false" customHeight="false" outlineLevel="0" collapsed="false">
      <c r="A46" s="18"/>
      <c r="B46" s="5"/>
      <c r="C46" s="5"/>
      <c r="D46" s="4"/>
    </row>
    <row r="47" customFormat="false" ht="15" hidden="false" customHeight="false" outlineLevel="0" collapsed="false">
      <c r="A47" s="18"/>
      <c r="B47" s="5"/>
      <c r="C47" s="5"/>
      <c r="D47" s="4"/>
    </row>
    <row r="48" customFormat="false" ht="15" hidden="false" customHeight="false" outlineLevel="0" collapsed="false">
      <c r="A48" s="18"/>
      <c r="B48" s="5"/>
      <c r="C48" s="5"/>
      <c r="D48" s="4"/>
    </row>
    <row r="49" customFormat="false" ht="15" hidden="false" customHeight="false" outlineLevel="0" collapsed="false">
      <c r="A49" s="18"/>
      <c r="B49" s="5"/>
      <c r="C49" s="5"/>
      <c r="D49" s="4"/>
    </row>
    <row r="50" customFormat="false" ht="15" hidden="false" customHeight="false" outlineLevel="0" collapsed="false">
      <c r="A50" s="18"/>
      <c r="B50" s="5"/>
      <c r="C50" s="5"/>
      <c r="D50" s="4"/>
    </row>
    <row r="51" customFormat="false" ht="15" hidden="false" customHeight="false" outlineLevel="0" collapsed="false">
      <c r="A51" s="18"/>
      <c r="B51" s="5"/>
      <c r="C51" s="5"/>
      <c r="D51" s="4"/>
    </row>
    <row r="52" customFormat="false" ht="15" hidden="false" customHeight="false" outlineLevel="0" collapsed="false">
      <c r="A52" s="18"/>
      <c r="B52" s="5"/>
      <c r="C52" s="5"/>
      <c r="D52" s="4"/>
    </row>
    <row r="53" customFormat="false" ht="15" hidden="false" customHeight="false" outlineLevel="0" collapsed="false">
      <c r="A53" s="18"/>
      <c r="B53" s="5"/>
      <c r="C53" s="5"/>
      <c r="D53" s="4"/>
    </row>
    <row r="54" customFormat="false" ht="15" hidden="false" customHeight="false" outlineLevel="0" collapsed="false">
      <c r="A54" s="18"/>
      <c r="B54" s="5"/>
      <c r="C54" s="5"/>
      <c r="D54" s="4"/>
    </row>
    <row r="55" customFormat="false" ht="15" hidden="false" customHeight="false" outlineLevel="0" collapsed="false">
      <c r="A55" s="18"/>
      <c r="B55" s="5"/>
      <c r="C55" s="5"/>
      <c r="D55" s="4"/>
    </row>
    <row r="56" customFormat="false" ht="15" hidden="false" customHeight="false" outlineLevel="0" collapsed="false">
      <c r="A56" s="18"/>
      <c r="B56" s="5"/>
      <c r="C56" s="5"/>
      <c r="D56" s="4"/>
    </row>
    <row r="57" customFormat="false" ht="15" hidden="false" customHeight="false" outlineLevel="0" collapsed="false">
      <c r="A57" s="18"/>
      <c r="B57" s="5"/>
      <c r="C57" s="5"/>
      <c r="D57" s="4"/>
    </row>
    <row r="58" customFormat="false" ht="15" hidden="false" customHeight="false" outlineLevel="0" collapsed="false">
      <c r="A58" s="18"/>
      <c r="B58" s="5"/>
      <c r="C58" s="5"/>
      <c r="D58" s="4"/>
    </row>
    <row r="59" customFormat="false" ht="15" hidden="false" customHeight="false" outlineLevel="0" collapsed="false">
      <c r="A59" s="18"/>
      <c r="B59" s="5"/>
      <c r="C59" s="5"/>
      <c r="D59" s="4"/>
    </row>
    <row r="60" customFormat="false" ht="15" hidden="false" customHeight="false" outlineLevel="0" collapsed="false">
      <c r="A60" s="18"/>
      <c r="B60" s="5"/>
      <c r="C60" s="5"/>
      <c r="D60" s="4"/>
    </row>
    <row r="61" customFormat="false" ht="15" hidden="false" customHeight="false" outlineLevel="0" collapsed="false">
      <c r="A61" s="18"/>
      <c r="B61" s="5"/>
      <c r="C61" s="5"/>
      <c r="D61" s="4"/>
    </row>
    <row r="62" customFormat="false" ht="15" hidden="false" customHeight="false" outlineLevel="0" collapsed="false">
      <c r="A62" s="18"/>
      <c r="B62" s="5"/>
      <c r="C62" s="5"/>
      <c r="D62" s="4"/>
    </row>
    <row r="63" customFormat="false" ht="15" hidden="false" customHeight="false" outlineLevel="0" collapsed="false">
      <c r="A63" s="18"/>
      <c r="B63" s="5"/>
      <c r="C63" s="5"/>
      <c r="D63" s="4"/>
    </row>
    <row r="64" customFormat="false" ht="15" hidden="false" customHeight="false" outlineLevel="0" collapsed="false">
      <c r="A64" s="18"/>
      <c r="B64" s="5"/>
      <c r="C64" s="5"/>
      <c r="D64" s="4"/>
    </row>
    <row r="65" customFormat="false" ht="15" hidden="false" customHeight="false" outlineLevel="0" collapsed="false">
      <c r="A65" s="18"/>
      <c r="B65" s="5"/>
      <c r="C65" s="5"/>
      <c r="D65" s="4"/>
    </row>
    <row r="66" customFormat="false" ht="15" hidden="false" customHeight="false" outlineLevel="0" collapsed="false">
      <c r="A66" s="18"/>
      <c r="B66" s="5"/>
      <c r="C66" s="5"/>
      <c r="D66" s="4"/>
    </row>
    <row r="67" customFormat="false" ht="15" hidden="false" customHeight="false" outlineLevel="0" collapsed="false">
      <c r="A67" s="18"/>
      <c r="B67" s="5"/>
      <c r="C67" s="5"/>
      <c r="D67" s="4"/>
    </row>
    <row r="68" customFormat="false" ht="15" hidden="false" customHeight="false" outlineLevel="0" collapsed="false">
      <c r="A68" s="18"/>
      <c r="B68" s="5"/>
      <c r="C68" s="5"/>
      <c r="D68" s="4"/>
    </row>
    <row r="69" customFormat="false" ht="15" hidden="false" customHeight="false" outlineLevel="0" collapsed="false">
      <c r="A69" s="18"/>
      <c r="B69" s="5"/>
      <c r="C69" s="5"/>
      <c r="D69" s="4"/>
    </row>
    <row r="70" customFormat="false" ht="15" hidden="false" customHeight="false" outlineLevel="0" collapsed="false">
      <c r="A70" s="18"/>
      <c r="B70" s="5"/>
      <c r="C70" s="5"/>
      <c r="D70" s="4"/>
    </row>
    <row r="71" customFormat="false" ht="15" hidden="false" customHeight="false" outlineLevel="0" collapsed="false">
      <c r="A71" s="18"/>
      <c r="B71" s="5"/>
      <c r="C71" s="5"/>
      <c r="D71" s="4"/>
    </row>
    <row r="72" customFormat="false" ht="15" hidden="false" customHeight="false" outlineLevel="0" collapsed="false">
      <c r="A72" s="18"/>
      <c r="B72" s="5"/>
      <c r="C72" s="5"/>
      <c r="D72" s="4"/>
    </row>
    <row r="73" customFormat="false" ht="15" hidden="false" customHeight="false" outlineLevel="0" collapsed="false">
      <c r="A73" s="18"/>
      <c r="B73" s="5"/>
      <c r="C73" s="5"/>
      <c r="D73" s="4"/>
    </row>
    <row r="74" customFormat="false" ht="15" hidden="false" customHeight="false" outlineLevel="0" collapsed="false">
      <c r="A74" s="18"/>
      <c r="B74" s="5"/>
      <c r="C74" s="5"/>
      <c r="D74" s="4"/>
    </row>
    <row r="75" customFormat="false" ht="15" hidden="false" customHeight="false" outlineLevel="0" collapsed="false">
      <c r="A75" s="18"/>
      <c r="B75" s="5"/>
      <c r="C75" s="5"/>
      <c r="D75" s="4"/>
    </row>
    <row r="76" customFormat="false" ht="15" hidden="false" customHeight="false" outlineLevel="0" collapsed="false">
      <c r="A76" s="18"/>
      <c r="B76" s="5"/>
      <c r="C76" s="5"/>
      <c r="D76" s="4"/>
    </row>
    <row r="77" customFormat="false" ht="15" hidden="false" customHeight="false" outlineLevel="0" collapsed="false">
      <c r="A77" s="18"/>
      <c r="B77" s="5"/>
      <c r="C77" s="5"/>
      <c r="D77" s="4"/>
    </row>
    <row r="78" customFormat="false" ht="15" hidden="false" customHeight="false" outlineLevel="0" collapsed="false">
      <c r="A78" s="18"/>
      <c r="B78" s="5"/>
      <c r="C78" s="5"/>
      <c r="D78" s="4"/>
    </row>
    <row r="79" customFormat="false" ht="15" hidden="false" customHeight="false" outlineLevel="0" collapsed="false">
      <c r="A79" s="18"/>
      <c r="B79" s="5"/>
      <c r="C79" s="5"/>
      <c r="D79" s="4"/>
    </row>
    <row r="80" customFormat="false" ht="15" hidden="false" customHeight="false" outlineLevel="0" collapsed="false">
      <c r="A80" s="18"/>
      <c r="B80" s="5"/>
      <c r="C80" s="5"/>
      <c r="D80" s="4"/>
    </row>
    <row r="81" customFormat="false" ht="15" hidden="false" customHeight="false" outlineLevel="0" collapsed="false">
      <c r="A81" s="18"/>
      <c r="B81" s="5"/>
      <c r="C81" s="5"/>
      <c r="D81" s="4"/>
    </row>
    <row r="82" customFormat="false" ht="15" hidden="false" customHeight="false" outlineLevel="0" collapsed="false">
      <c r="A82" s="18"/>
      <c r="B82" s="5"/>
      <c r="C82" s="5"/>
      <c r="D82" s="4"/>
    </row>
    <row r="83" customFormat="false" ht="15" hidden="false" customHeight="false" outlineLevel="0" collapsed="false">
      <c r="A83" s="18"/>
      <c r="B83" s="5"/>
      <c r="C83" s="5"/>
      <c r="D83" s="4"/>
    </row>
    <row r="84" customFormat="false" ht="15" hidden="false" customHeight="false" outlineLevel="0" collapsed="false">
      <c r="A84" s="18"/>
      <c r="B84" s="5"/>
      <c r="C84" s="5"/>
      <c r="D84" s="4"/>
    </row>
    <row r="85" customFormat="false" ht="15" hidden="false" customHeight="false" outlineLevel="0" collapsed="false">
      <c r="A85" s="18"/>
      <c r="B85" s="5"/>
      <c r="C85" s="5"/>
      <c r="D85" s="4"/>
    </row>
    <row r="86" customFormat="false" ht="15" hidden="false" customHeight="false" outlineLevel="0" collapsed="false">
      <c r="A86" s="18"/>
      <c r="B86" s="5"/>
      <c r="C86" s="5"/>
      <c r="D86" s="4"/>
    </row>
    <row r="87" customFormat="false" ht="15" hidden="false" customHeight="false" outlineLevel="0" collapsed="false">
      <c r="A87" s="18"/>
      <c r="B87" s="5"/>
      <c r="C87" s="5"/>
      <c r="D87" s="4"/>
    </row>
    <row r="88" customFormat="false" ht="15" hidden="false" customHeight="false" outlineLevel="0" collapsed="false">
      <c r="A88" s="18"/>
      <c r="B88" s="5"/>
      <c r="C88" s="5"/>
      <c r="D88" s="4"/>
    </row>
    <row r="89" customFormat="false" ht="15" hidden="false" customHeight="false" outlineLevel="0" collapsed="false">
      <c r="A89" s="18"/>
      <c r="B89" s="5"/>
      <c r="C89" s="5"/>
      <c r="D89" s="4"/>
    </row>
    <row r="90" customFormat="false" ht="15" hidden="false" customHeight="false" outlineLevel="0" collapsed="false">
      <c r="A90" s="18"/>
      <c r="B90" s="5"/>
      <c r="C90" s="5"/>
      <c r="D90" s="4"/>
    </row>
    <row r="91" customFormat="false" ht="15" hidden="false" customHeight="false" outlineLevel="0" collapsed="false">
      <c r="A91" s="18"/>
      <c r="B91" s="5"/>
      <c r="C91" s="5"/>
      <c r="D91" s="4"/>
    </row>
    <row r="92" customFormat="false" ht="15" hidden="false" customHeight="false" outlineLevel="0" collapsed="false">
      <c r="A92" s="18"/>
      <c r="B92" s="5"/>
      <c r="C92" s="5"/>
      <c r="D92" s="4"/>
    </row>
    <row r="93" customFormat="false" ht="15" hidden="false" customHeight="false" outlineLevel="0" collapsed="false">
      <c r="A93" s="18"/>
      <c r="B93" s="5"/>
      <c r="C93" s="5"/>
      <c r="D93" s="4"/>
    </row>
    <row r="94" customFormat="false" ht="15" hidden="false" customHeight="false" outlineLevel="0" collapsed="false">
      <c r="A94" s="18"/>
      <c r="B94" s="5"/>
      <c r="C94" s="5"/>
      <c r="D94" s="4"/>
    </row>
    <row r="95" customFormat="false" ht="15" hidden="false" customHeight="false" outlineLevel="0" collapsed="false">
      <c r="A95" s="18"/>
      <c r="B95" s="5"/>
      <c r="C95" s="5"/>
      <c r="D95" s="4"/>
    </row>
    <row r="96" customFormat="false" ht="15" hidden="false" customHeight="false" outlineLevel="0" collapsed="false">
      <c r="A96" s="18"/>
      <c r="B96" s="5"/>
      <c r="C96" s="5"/>
      <c r="D96" s="4"/>
    </row>
    <row r="97" customFormat="false" ht="15" hidden="false" customHeight="false" outlineLevel="0" collapsed="false">
      <c r="A97" s="18"/>
      <c r="B97" s="5"/>
      <c r="C97" s="5"/>
      <c r="D97" s="4"/>
    </row>
    <row r="98" customFormat="false" ht="15" hidden="false" customHeight="false" outlineLevel="0" collapsed="false">
      <c r="A98" s="18"/>
      <c r="B98" s="5"/>
      <c r="C98" s="5"/>
      <c r="D98" s="4"/>
    </row>
    <row r="99" customFormat="false" ht="15" hidden="false" customHeight="false" outlineLevel="0" collapsed="false">
      <c r="A99" s="18"/>
      <c r="B99" s="5"/>
      <c r="C99" s="5"/>
      <c r="D99" s="4"/>
    </row>
    <row r="100" customFormat="false" ht="15" hidden="false" customHeight="false" outlineLevel="0" collapsed="false">
      <c r="A100" s="18"/>
      <c r="B100" s="5"/>
      <c r="C100" s="5"/>
      <c r="D100" s="4"/>
    </row>
    <row r="101" customFormat="false" ht="15" hidden="false" customHeight="false" outlineLevel="0" collapsed="false">
      <c r="A101" s="18"/>
      <c r="B101" s="5"/>
      <c r="C101" s="5"/>
      <c r="D101" s="4"/>
    </row>
    <row r="102" customFormat="false" ht="15" hidden="false" customHeight="false" outlineLevel="0" collapsed="false">
      <c r="A102" s="18"/>
      <c r="B102" s="5"/>
      <c r="C102" s="5"/>
      <c r="D102" s="4"/>
    </row>
    <row r="103" customFormat="false" ht="15" hidden="false" customHeight="false" outlineLevel="0" collapsed="false">
      <c r="A103" s="18"/>
      <c r="B103" s="5"/>
      <c r="C103" s="5"/>
      <c r="D103" s="4"/>
    </row>
    <row r="104" customFormat="false" ht="15" hidden="false" customHeight="false" outlineLevel="0" collapsed="false">
      <c r="A104" s="18"/>
      <c r="B104" s="5"/>
      <c r="C104" s="5"/>
      <c r="D104" s="4"/>
    </row>
    <row r="105" customFormat="false" ht="15" hidden="false" customHeight="false" outlineLevel="0" collapsed="false">
      <c r="A105" s="18"/>
      <c r="B105" s="5"/>
      <c r="C105" s="5"/>
      <c r="D105" s="4"/>
    </row>
    <row r="106" customFormat="false" ht="15" hidden="false" customHeight="false" outlineLevel="0" collapsed="false">
      <c r="A106" s="18"/>
      <c r="B106" s="5"/>
      <c r="C106" s="5"/>
      <c r="D106" s="4"/>
    </row>
    <row r="107" customFormat="false" ht="15" hidden="false" customHeight="false" outlineLevel="0" collapsed="false">
      <c r="A107" s="18"/>
      <c r="B107" s="5"/>
      <c r="C107" s="5"/>
      <c r="D107" s="4"/>
    </row>
    <row r="108" customFormat="false" ht="15" hidden="false" customHeight="false" outlineLevel="0" collapsed="false">
      <c r="A108" s="18"/>
      <c r="B108" s="5"/>
      <c r="C108" s="5"/>
      <c r="D108" s="4"/>
    </row>
    <row r="109" customFormat="false" ht="15" hidden="false" customHeight="false" outlineLevel="0" collapsed="false">
      <c r="A109" s="18"/>
      <c r="B109" s="5"/>
      <c r="C109" s="5"/>
      <c r="D109" s="4"/>
    </row>
    <row r="110" customFormat="false" ht="15" hidden="false" customHeight="false" outlineLevel="0" collapsed="false">
      <c r="A110" s="18"/>
      <c r="B110" s="5"/>
      <c r="C110" s="5"/>
      <c r="D110" s="4"/>
    </row>
    <row r="111" customFormat="false" ht="15" hidden="false" customHeight="false" outlineLevel="0" collapsed="false">
      <c r="A111" s="18"/>
      <c r="B111" s="5"/>
      <c r="C111" s="5"/>
      <c r="D111" s="4"/>
    </row>
    <row r="112" customFormat="false" ht="15" hidden="false" customHeight="false" outlineLevel="0" collapsed="false">
      <c r="A112" s="18"/>
      <c r="B112" s="5"/>
      <c r="C112" s="5"/>
      <c r="D112" s="4"/>
    </row>
    <row r="113" customFormat="false" ht="15" hidden="false" customHeight="false" outlineLevel="0" collapsed="false">
      <c r="A113" s="18"/>
      <c r="B113" s="5"/>
      <c r="C113" s="5"/>
      <c r="D113" s="4"/>
    </row>
    <row r="114" customFormat="false" ht="15" hidden="false" customHeight="false" outlineLevel="0" collapsed="false">
      <c r="A114" s="18"/>
      <c r="B114" s="5"/>
      <c r="C114" s="5"/>
      <c r="D114" s="4"/>
    </row>
    <row r="115" customFormat="false" ht="15" hidden="false" customHeight="false" outlineLevel="0" collapsed="false">
      <c r="A115" s="18"/>
      <c r="B115" s="5"/>
      <c r="C115" s="5"/>
      <c r="D115" s="4"/>
    </row>
    <row r="116" customFormat="false" ht="15" hidden="false" customHeight="false" outlineLevel="0" collapsed="false">
      <c r="A116" s="18"/>
      <c r="B116" s="5"/>
      <c r="C116" s="5"/>
      <c r="D116" s="4"/>
    </row>
    <row r="117" customFormat="false" ht="15" hidden="false" customHeight="false" outlineLevel="0" collapsed="false">
      <c r="A117" s="18"/>
      <c r="B117" s="5"/>
      <c r="C117" s="5"/>
      <c r="D117" s="4"/>
    </row>
    <row r="118" customFormat="false" ht="15" hidden="false" customHeight="false" outlineLevel="0" collapsed="false">
      <c r="A118" s="18"/>
      <c r="B118" s="5"/>
      <c r="C118" s="5"/>
      <c r="D118" s="4"/>
    </row>
    <row r="119" customFormat="false" ht="15" hidden="false" customHeight="false" outlineLevel="0" collapsed="false">
      <c r="A119" s="18"/>
      <c r="B119" s="5"/>
      <c r="C119" s="5"/>
      <c r="D119" s="4"/>
    </row>
    <row r="120" customFormat="false" ht="15" hidden="false" customHeight="false" outlineLevel="0" collapsed="false">
      <c r="A120" s="18"/>
      <c r="B120" s="5"/>
      <c r="C120" s="5"/>
      <c r="D120" s="4"/>
    </row>
    <row r="121" customFormat="false" ht="15" hidden="false" customHeight="false" outlineLevel="0" collapsed="false">
      <c r="A121" s="18"/>
      <c r="B121" s="5"/>
      <c r="C121" s="5"/>
      <c r="D121" s="4"/>
    </row>
    <row r="122" customFormat="false" ht="15" hidden="false" customHeight="false" outlineLevel="0" collapsed="false">
      <c r="A122" s="18"/>
      <c r="B122" s="5"/>
      <c r="C122" s="5"/>
      <c r="D122" s="4"/>
    </row>
    <row r="123" customFormat="false" ht="15" hidden="false" customHeight="false" outlineLevel="0" collapsed="false">
      <c r="A123" s="18"/>
      <c r="B123" s="5"/>
      <c r="C123" s="5"/>
      <c r="D123" s="4"/>
    </row>
    <row r="124" customFormat="false" ht="15" hidden="false" customHeight="false" outlineLevel="0" collapsed="false">
      <c r="A124" s="18"/>
      <c r="B124" s="5"/>
      <c r="C124" s="5"/>
      <c r="D124" s="4"/>
    </row>
    <row r="125" customFormat="false" ht="15" hidden="false" customHeight="false" outlineLevel="0" collapsed="false">
      <c r="A125" s="18"/>
      <c r="B125" s="5"/>
      <c r="C125" s="5"/>
      <c r="D125" s="4"/>
    </row>
    <row r="126" customFormat="false" ht="15" hidden="false" customHeight="false" outlineLevel="0" collapsed="false">
      <c r="A126" s="18"/>
      <c r="B126" s="5"/>
      <c r="C126" s="5"/>
      <c r="D126" s="4"/>
    </row>
    <row r="127" customFormat="false" ht="15" hidden="false" customHeight="false" outlineLevel="0" collapsed="false">
      <c r="A127" s="18"/>
      <c r="B127" s="5"/>
      <c r="C127" s="5"/>
      <c r="D127" s="4"/>
    </row>
    <row r="128" customFormat="false" ht="15" hidden="false" customHeight="false" outlineLevel="0" collapsed="false">
      <c r="A128" s="18"/>
      <c r="B128" s="5"/>
      <c r="C128" s="5"/>
      <c r="D128" s="4"/>
    </row>
    <row r="129" customFormat="false" ht="15" hidden="false" customHeight="false" outlineLevel="0" collapsed="false">
      <c r="A129" s="18"/>
      <c r="B129" s="5"/>
      <c r="C129" s="5"/>
      <c r="D129" s="4"/>
    </row>
    <row r="130" customFormat="false" ht="15" hidden="false" customHeight="false" outlineLevel="0" collapsed="false">
      <c r="A130" s="18"/>
      <c r="B130" s="5"/>
      <c r="C130" s="5"/>
      <c r="D130" s="4"/>
    </row>
    <row r="131" customFormat="false" ht="15" hidden="false" customHeight="false" outlineLevel="0" collapsed="false">
      <c r="A131" s="18"/>
      <c r="B131" s="5"/>
      <c r="C131" s="5"/>
      <c r="D131" s="4"/>
    </row>
    <row r="132" customFormat="false" ht="15" hidden="false" customHeight="false" outlineLevel="0" collapsed="false">
      <c r="A132" s="18"/>
      <c r="B132" s="5"/>
      <c r="C132" s="5"/>
      <c r="D132" s="4"/>
    </row>
    <row r="133" customFormat="false" ht="15" hidden="false" customHeight="false" outlineLevel="0" collapsed="false">
      <c r="A133" s="18"/>
      <c r="B133" s="5"/>
      <c r="C133" s="5"/>
      <c r="D133" s="4"/>
    </row>
    <row r="134" customFormat="false" ht="15" hidden="false" customHeight="false" outlineLevel="0" collapsed="false">
      <c r="A134" s="18"/>
      <c r="B134" s="5"/>
      <c r="C134" s="5"/>
      <c r="D134" s="4"/>
    </row>
    <row r="135" customFormat="false" ht="15" hidden="false" customHeight="false" outlineLevel="0" collapsed="false">
      <c r="A135" s="18"/>
      <c r="B135" s="5"/>
      <c r="C135" s="5"/>
      <c r="D135" s="4"/>
    </row>
    <row r="136" customFormat="false" ht="15" hidden="false" customHeight="false" outlineLevel="0" collapsed="false">
      <c r="A136" s="18"/>
      <c r="B136" s="5"/>
      <c r="C136" s="5"/>
      <c r="D136" s="4"/>
    </row>
    <row r="137" customFormat="false" ht="15" hidden="false" customHeight="false" outlineLevel="0" collapsed="false">
      <c r="A137" s="18"/>
      <c r="B137" s="5"/>
      <c r="C137" s="5"/>
      <c r="D137" s="4"/>
    </row>
    <row r="138" customFormat="false" ht="15" hidden="false" customHeight="false" outlineLevel="0" collapsed="false">
      <c r="A138" s="18"/>
      <c r="B138" s="5"/>
      <c r="C138" s="5"/>
      <c r="D138" s="4"/>
    </row>
    <row r="139" customFormat="false" ht="15" hidden="false" customHeight="false" outlineLevel="0" collapsed="false">
      <c r="A139" s="18"/>
      <c r="B139" s="5"/>
      <c r="C139" s="5"/>
      <c r="D139" s="4"/>
    </row>
    <row r="140" customFormat="false" ht="15" hidden="false" customHeight="false" outlineLevel="0" collapsed="false">
      <c r="A140" s="18"/>
      <c r="B140" s="5"/>
      <c r="C140" s="5"/>
      <c r="D140" s="4"/>
    </row>
    <row r="141" customFormat="false" ht="15" hidden="false" customHeight="false" outlineLevel="0" collapsed="false">
      <c r="A141" s="18"/>
      <c r="B141" s="5"/>
      <c r="C141" s="5"/>
      <c r="D141" s="4"/>
    </row>
    <row r="142" customFormat="false" ht="15" hidden="false" customHeight="false" outlineLevel="0" collapsed="false">
      <c r="A142" s="18"/>
      <c r="B142" s="5"/>
      <c r="C142" s="5"/>
      <c r="D142" s="4"/>
    </row>
    <row r="143" customFormat="false" ht="15" hidden="false" customHeight="false" outlineLevel="0" collapsed="false">
      <c r="A143" s="18"/>
      <c r="B143" s="5"/>
      <c r="C143" s="5"/>
      <c r="D143" s="4"/>
    </row>
    <row r="144" customFormat="false" ht="15" hidden="false" customHeight="false" outlineLevel="0" collapsed="false">
      <c r="A144" s="18"/>
      <c r="B144" s="5"/>
      <c r="C144" s="5"/>
      <c r="D144" s="4"/>
    </row>
    <row r="145" customFormat="false" ht="15" hidden="false" customHeight="false" outlineLevel="0" collapsed="false">
      <c r="A145" s="18"/>
      <c r="B145" s="5"/>
      <c r="C145" s="5"/>
      <c r="D145" s="4"/>
    </row>
    <row r="146" customFormat="false" ht="15" hidden="false" customHeight="false" outlineLevel="0" collapsed="false">
      <c r="A146" s="18"/>
      <c r="B146" s="5"/>
      <c r="C146" s="5"/>
      <c r="D146" s="4"/>
    </row>
    <row r="147" customFormat="false" ht="15" hidden="false" customHeight="false" outlineLevel="0" collapsed="false">
      <c r="A147" s="18"/>
      <c r="B147" s="5"/>
      <c r="C147" s="5"/>
      <c r="D147" s="4"/>
    </row>
    <row r="148" customFormat="false" ht="15" hidden="false" customHeight="false" outlineLevel="0" collapsed="false">
      <c r="A148" s="18"/>
      <c r="B148" s="5"/>
      <c r="C148" s="5"/>
      <c r="D148" s="4"/>
    </row>
    <row r="149" customFormat="false" ht="15" hidden="false" customHeight="false" outlineLevel="0" collapsed="false">
      <c r="A149" s="18"/>
      <c r="B149" s="5"/>
      <c r="C149" s="5"/>
      <c r="D149" s="4"/>
    </row>
    <row r="150" customFormat="false" ht="15" hidden="false" customHeight="false" outlineLevel="0" collapsed="false">
      <c r="A150" s="18"/>
      <c r="B150" s="5"/>
      <c r="C150" s="5"/>
      <c r="D150" s="4"/>
    </row>
    <row r="151" customFormat="false" ht="15" hidden="false" customHeight="false" outlineLevel="0" collapsed="false">
      <c r="A151" s="18"/>
      <c r="B151" s="5"/>
      <c r="C151" s="5"/>
      <c r="D151" s="4"/>
    </row>
    <row r="152" customFormat="false" ht="15" hidden="false" customHeight="false" outlineLevel="0" collapsed="false">
      <c r="A152" s="18"/>
      <c r="B152" s="5"/>
      <c r="C152" s="5"/>
      <c r="D152" s="4"/>
    </row>
    <row r="153" customFormat="false" ht="15" hidden="false" customHeight="false" outlineLevel="0" collapsed="false">
      <c r="A153" s="18"/>
      <c r="B153" s="5"/>
      <c r="C153" s="5"/>
      <c r="D153" s="4"/>
    </row>
    <row r="154" customFormat="false" ht="15" hidden="false" customHeight="false" outlineLevel="0" collapsed="false">
      <c r="A154" s="18"/>
      <c r="B154" s="5"/>
      <c r="C154" s="5"/>
      <c r="D154" s="4"/>
    </row>
    <row r="155" customFormat="false" ht="15" hidden="false" customHeight="false" outlineLevel="0" collapsed="false">
      <c r="A155" s="18"/>
      <c r="B155" s="5"/>
      <c r="C155" s="5"/>
      <c r="D155" s="4"/>
    </row>
    <row r="156" customFormat="false" ht="15" hidden="false" customHeight="false" outlineLevel="0" collapsed="false">
      <c r="A156" s="18"/>
      <c r="B156" s="5"/>
      <c r="C156" s="5"/>
      <c r="D156" s="4"/>
    </row>
    <row r="157" customFormat="false" ht="15" hidden="false" customHeight="false" outlineLevel="0" collapsed="false">
      <c r="A157" s="18"/>
      <c r="B157" s="5"/>
      <c r="C157" s="5"/>
      <c r="D157" s="4"/>
    </row>
    <row r="158" customFormat="false" ht="15" hidden="false" customHeight="false" outlineLevel="0" collapsed="false">
      <c r="A158" s="18"/>
      <c r="B158" s="5"/>
      <c r="C158" s="5"/>
      <c r="D158" s="4"/>
    </row>
    <row r="159" customFormat="false" ht="15" hidden="false" customHeight="false" outlineLevel="0" collapsed="false">
      <c r="A159" s="18"/>
      <c r="B159" s="5"/>
      <c r="C159" s="5"/>
      <c r="D159" s="4"/>
    </row>
    <row r="160" customFormat="false" ht="15" hidden="false" customHeight="false" outlineLevel="0" collapsed="false">
      <c r="A160" s="18"/>
      <c r="B160" s="5"/>
      <c r="C160" s="5"/>
      <c r="D160" s="4"/>
    </row>
    <row r="161" customFormat="false" ht="15" hidden="false" customHeight="false" outlineLevel="0" collapsed="false">
      <c r="A161" s="18"/>
      <c r="B161" s="5"/>
      <c r="C161" s="5"/>
      <c r="D161" s="4"/>
    </row>
    <row r="162" customFormat="false" ht="15" hidden="false" customHeight="false" outlineLevel="0" collapsed="false">
      <c r="A162" s="18"/>
      <c r="B162" s="5"/>
      <c r="C162" s="5"/>
      <c r="D162" s="4"/>
    </row>
    <row r="163" customFormat="false" ht="15" hidden="false" customHeight="false" outlineLevel="0" collapsed="false">
      <c r="A163" s="18"/>
      <c r="B163" s="5"/>
      <c r="C163" s="5"/>
      <c r="D163" s="4"/>
    </row>
    <row r="164" customFormat="false" ht="15" hidden="false" customHeight="false" outlineLevel="0" collapsed="false">
      <c r="A164" s="18"/>
      <c r="B164" s="5"/>
      <c r="C164" s="5"/>
      <c r="D164" s="4"/>
    </row>
    <row r="165" customFormat="false" ht="15" hidden="false" customHeight="false" outlineLevel="0" collapsed="false">
      <c r="A165" s="18"/>
      <c r="B165" s="5"/>
      <c r="C165" s="5"/>
      <c r="D165" s="4"/>
    </row>
    <row r="166" customFormat="false" ht="15" hidden="false" customHeight="false" outlineLevel="0" collapsed="false">
      <c r="A166" s="18"/>
      <c r="B166" s="5"/>
      <c r="C166" s="5"/>
      <c r="D166" s="4"/>
    </row>
    <row r="167" customFormat="false" ht="15" hidden="false" customHeight="false" outlineLevel="0" collapsed="false">
      <c r="A167" s="18"/>
      <c r="B167" s="5"/>
      <c r="C167" s="5"/>
      <c r="D167" s="4"/>
    </row>
    <row r="168" customFormat="false" ht="15" hidden="false" customHeight="false" outlineLevel="0" collapsed="false">
      <c r="A168" s="18"/>
      <c r="B168" s="5"/>
      <c r="C168" s="5"/>
      <c r="D168" s="4"/>
    </row>
    <row r="169" customFormat="false" ht="15" hidden="false" customHeight="false" outlineLevel="0" collapsed="false">
      <c r="A169" s="18"/>
      <c r="B169" s="5"/>
      <c r="C169" s="5"/>
      <c r="D169" s="4"/>
    </row>
    <row r="170" customFormat="false" ht="15" hidden="false" customHeight="false" outlineLevel="0" collapsed="false">
      <c r="A170" s="18"/>
      <c r="B170" s="5"/>
      <c r="C170" s="5"/>
      <c r="D170" s="4"/>
    </row>
    <row r="171" customFormat="false" ht="15" hidden="false" customHeight="false" outlineLevel="0" collapsed="false">
      <c r="A171" s="18"/>
      <c r="B171" s="5"/>
      <c r="C171" s="5"/>
      <c r="D171" s="4"/>
    </row>
    <row r="172" customFormat="false" ht="15" hidden="false" customHeight="false" outlineLevel="0" collapsed="false">
      <c r="A172" s="18"/>
      <c r="B172" s="5"/>
      <c r="C172" s="5"/>
      <c r="D172" s="4"/>
    </row>
    <row r="173" customFormat="false" ht="15" hidden="false" customHeight="false" outlineLevel="0" collapsed="false">
      <c r="A173" s="18"/>
      <c r="B173" s="5"/>
      <c r="C173" s="5"/>
      <c r="D173" s="4"/>
    </row>
    <row r="174" customFormat="false" ht="15" hidden="false" customHeight="false" outlineLevel="0" collapsed="false">
      <c r="A174" s="18"/>
      <c r="B174" s="5"/>
      <c r="C174" s="5"/>
      <c r="D174" s="4"/>
    </row>
    <row r="175" customFormat="false" ht="15" hidden="false" customHeight="false" outlineLevel="0" collapsed="false">
      <c r="A175" s="18"/>
      <c r="B175" s="5"/>
      <c r="C175" s="5"/>
      <c r="D175" s="4"/>
    </row>
    <row r="176" customFormat="false" ht="15" hidden="false" customHeight="false" outlineLevel="0" collapsed="false">
      <c r="A176" s="18"/>
      <c r="B176" s="5"/>
      <c r="C176" s="5"/>
      <c r="D176" s="4"/>
    </row>
    <row r="177" customFormat="false" ht="15" hidden="false" customHeight="false" outlineLevel="0" collapsed="false">
      <c r="A177" s="18"/>
      <c r="B177" s="5"/>
      <c r="C177" s="5"/>
      <c r="D177" s="4"/>
    </row>
    <row r="178" customFormat="false" ht="15" hidden="false" customHeight="false" outlineLevel="0" collapsed="false">
      <c r="A178" s="18"/>
      <c r="B178" s="5"/>
      <c r="C178" s="5"/>
      <c r="D178" s="4"/>
    </row>
    <row r="179" customFormat="false" ht="15" hidden="false" customHeight="false" outlineLevel="0" collapsed="false">
      <c r="A179" s="18"/>
      <c r="B179" s="5"/>
      <c r="C179" s="5"/>
      <c r="D179" s="4"/>
    </row>
    <row r="180" customFormat="false" ht="15" hidden="false" customHeight="false" outlineLevel="0" collapsed="false">
      <c r="A180" s="18"/>
      <c r="B180" s="5"/>
      <c r="C180" s="5"/>
      <c r="D180" s="4"/>
    </row>
    <row r="181" customFormat="false" ht="15" hidden="false" customHeight="false" outlineLevel="0" collapsed="false">
      <c r="A181" s="18"/>
      <c r="B181" s="5"/>
      <c r="C181" s="5"/>
      <c r="D181" s="4"/>
    </row>
    <row r="182" customFormat="false" ht="15" hidden="false" customHeight="false" outlineLevel="0" collapsed="false">
      <c r="A182" s="18"/>
      <c r="B182" s="5"/>
      <c r="C182" s="5"/>
      <c r="D182" s="4"/>
    </row>
    <row r="183" customFormat="false" ht="15" hidden="false" customHeight="false" outlineLevel="0" collapsed="false">
      <c r="A183" s="18"/>
      <c r="B183" s="5"/>
      <c r="C183" s="5"/>
      <c r="D183" s="4"/>
    </row>
    <row r="184" customFormat="false" ht="15" hidden="false" customHeight="false" outlineLevel="0" collapsed="false">
      <c r="A184" s="18"/>
      <c r="B184" s="5"/>
      <c r="C184" s="5"/>
      <c r="D184" s="4"/>
    </row>
    <row r="185" customFormat="false" ht="15" hidden="false" customHeight="false" outlineLevel="0" collapsed="false">
      <c r="A185" s="18"/>
      <c r="B185" s="5"/>
      <c r="C185" s="5"/>
      <c r="D185" s="4"/>
    </row>
    <row r="186" customFormat="false" ht="15" hidden="false" customHeight="false" outlineLevel="0" collapsed="false">
      <c r="A186" s="18"/>
      <c r="B186" s="5"/>
      <c r="C186" s="5"/>
      <c r="D186" s="4"/>
    </row>
    <row r="187" customFormat="false" ht="15" hidden="false" customHeight="false" outlineLevel="0" collapsed="false">
      <c r="A187" s="18"/>
      <c r="B187" s="5"/>
      <c r="C187" s="5"/>
      <c r="D187" s="4"/>
    </row>
    <row r="188" customFormat="false" ht="15" hidden="false" customHeight="false" outlineLevel="0" collapsed="false">
      <c r="A188" s="18"/>
      <c r="B188" s="5"/>
      <c r="C188" s="5"/>
      <c r="D188" s="4"/>
    </row>
    <row r="189" customFormat="false" ht="15" hidden="false" customHeight="false" outlineLevel="0" collapsed="false">
      <c r="A189" s="18"/>
      <c r="B189" s="5"/>
      <c r="C189" s="5"/>
      <c r="D189" s="4"/>
    </row>
    <row r="190" customFormat="false" ht="15" hidden="false" customHeight="false" outlineLevel="0" collapsed="false">
      <c r="A190" s="18"/>
      <c r="B190" s="5"/>
      <c r="C190" s="5"/>
      <c r="D190" s="4"/>
    </row>
    <row r="191" customFormat="false" ht="15" hidden="false" customHeight="false" outlineLevel="0" collapsed="false">
      <c r="A191" s="18"/>
      <c r="B191" s="5"/>
      <c r="C191" s="5"/>
      <c r="D191" s="4"/>
    </row>
    <row r="192" customFormat="false" ht="15" hidden="false" customHeight="false" outlineLevel="0" collapsed="false">
      <c r="A192" s="18"/>
      <c r="B192" s="5"/>
      <c r="C192" s="5"/>
      <c r="D192" s="4"/>
    </row>
    <row r="193" customFormat="false" ht="15" hidden="false" customHeight="false" outlineLevel="0" collapsed="false">
      <c r="A193" s="18"/>
      <c r="B193" s="5"/>
      <c r="C193" s="5"/>
      <c r="D193" s="4"/>
    </row>
    <row r="194" customFormat="false" ht="15" hidden="false" customHeight="false" outlineLevel="0" collapsed="false">
      <c r="A194" s="18"/>
      <c r="B194" s="5"/>
      <c r="C194" s="5"/>
      <c r="D194" s="4"/>
    </row>
    <row r="195" customFormat="false" ht="15" hidden="false" customHeight="false" outlineLevel="0" collapsed="false">
      <c r="A195" s="18"/>
      <c r="B195" s="5"/>
      <c r="C195" s="5"/>
      <c r="D195" s="4"/>
    </row>
    <row r="196" customFormat="false" ht="15" hidden="false" customHeight="false" outlineLevel="0" collapsed="false">
      <c r="A196" s="18"/>
      <c r="B196" s="5"/>
      <c r="C196" s="5"/>
      <c r="D196" s="4"/>
    </row>
    <row r="197" customFormat="false" ht="15" hidden="false" customHeight="false" outlineLevel="0" collapsed="false">
      <c r="A197" s="18"/>
      <c r="B197" s="5"/>
      <c r="C197" s="5"/>
      <c r="D197" s="4"/>
    </row>
    <row r="198" customFormat="false" ht="15" hidden="false" customHeight="false" outlineLevel="0" collapsed="false">
      <c r="A198" s="18"/>
      <c r="B198" s="5"/>
      <c r="C198" s="5"/>
      <c r="D198" s="4"/>
    </row>
    <row r="199" customFormat="false" ht="15" hidden="false" customHeight="false" outlineLevel="0" collapsed="false">
      <c r="A199" s="18"/>
      <c r="B199" s="5"/>
      <c r="C199" s="5"/>
      <c r="D199" s="4"/>
    </row>
    <row r="200" customFormat="false" ht="15" hidden="false" customHeight="false" outlineLevel="0" collapsed="false">
      <c r="A200" s="18"/>
      <c r="B200" s="5"/>
      <c r="C200" s="5"/>
      <c r="D200" s="4"/>
    </row>
    <row r="201" customFormat="false" ht="15" hidden="false" customHeight="false" outlineLevel="0" collapsed="false">
      <c r="A201" s="18"/>
      <c r="B201" s="5"/>
      <c r="C201" s="5"/>
      <c r="D201" s="4"/>
    </row>
    <row r="202" customFormat="false" ht="15" hidden="false" customHeight="false" outlineLevel="0" collapsed="false">
      <c r="A202" s="18"/>
      <c r="B202" s="5"/>
      <c r="C202" s="5"/>
      <c r="D202" s="4"/>
    </row>
    <row r="203" customFormat="false" ht="15" hidden="false" customHeight="false" outlineLevel="0" collapsed="false">
      <c r="A203" s="18"/>
      <c r="B203" s="5"/>
      <c r="C203" s="5"/>
      <c r="D203" s="4"/>
    </row>
    <row r="204" customFormat="false" ht="15" hidden="false" customHeight="false" outlineLevel="0" collapsed="false">
      <c r="A204" s="18"/>
      <c r="B204" s="5"/>
      <c r="C204" s="5"/>
      <c r="D204" s="4"/>
    </row>
    <row r="205" customFormat="false" ht="15" hidden="false" customHeight="false" outlineLevel="0" collapsed="false">
      <c r="A205" s="18"/>
      <c r="B205" s="5"/>
      <c r="C205" s="5"/>
      <c r="D205" s="4"/>
    </row>
    <row r="206" customFormat="false" ht="15" hidden="false" customHeight="false" outlineLevel="0" collapsed="false">
      <c r="A206" s="18"/>
      <c r="B206" s="5"/>
      <c r="C206" s="5"/>
      <c r="D206" s="4"/>
    </row>
    <row r="207" customFormat="false" ht="15" hidden="false" customHeight="false" outlineLevel="0" collapsed="false">
      <c r="A207" s="18"/>
      <c r="B207" s="5"/>
      <c r="C207" s="5"/>
      <c r="D207" s="4"/>
    </row>
    <row r="208" customFormat="false" ht="15" hidden="false" customHeight="false" outlineLevel="0" collapsed="false">
      <c r="A208" s="18"/>
      <c r="B208" s="5"/>
      <c r="C208" s="5"/>
      <c r="D208" s="4"/>
    </row>
    <row r="209" customFormat="false" ht="15" hidden="false" customHeight="false" outlineLevel="0" collapsed="false">
      <c r="A209" s="18"/>
      <c r="B209" s="5"/>
      <c r="C209" s="5"/>
      <c r="D209" s="4"/>
    </row>
    <row r="210" customFormat="false" ht="15" hidden="false" customHeight="false" outlineLevel="0" collapsed="false">
      <c r="A210" s="18"/>
      <c r="B210" s="5"/>
      <c r="C210" s="5"/>
      <c r="D210" s="4"/>
    </row>
    <row r="211" customFormat="false" ht="15" hidden="false" customHeight="false" outlineLevel="0" collapsed="false">
      <c r="A211" s="18"/>
      <c r="B211" s="5"/>
      <c r="C211" s="5"/>
      <c r="D211" s="4"/>
    </row>
    <row r="212" customFormat="false" ht="15" hidden="false" customHeight="false" outlineLevel="0" collapsed="false">
      <c r="A212" s="18"/>
      <c r="B212" s="5"/>
      <c r="C212" s="5"/>
      <c r="D212" s="4"/>
    </row>
    <row r="213" customFormat="false" ht="15" hidden="false" customHeight="false" outlineLevel="0" collapsed="false">
      <c r="A213" s="18"/>
      <c r="B213" s="5"/>
      <c r="C213" s="5"/>
      <c r="D213" s="4"/>
    </row>
    <row r="214" customFormat="false" ht="15" hidden="false" customHeight="false" outlineLevel="0" collapsed="false">
      <c r="A214" s="18"/>
      <c r="B214" s="5"/>
      <c r="C214" s="5"/>
      <c r="D214" s="4"/>
    </row>
    <row r="215" customFormat="false" ht="15" hidden="false" customHeight="false" outlineLevel="0" collapsed="false">
      <c r="A215" s="18"/>
      <c r="B215" s="5"/>
      <c r="C215" s="5"/>
      <c r="D215" s="4"/>
    </row>
    <row r="216" customFormat="false" ht="15" hidden="false" customHeight="false" outlineLevel="0" collapsed="false">
      <c r="A216" s="18"/>
      <c r="B216" s="5"/>
      <c r="C216" s="5"/>
      <c r="D216" s="4"/>
    </row>
    <row r="217" customFormat="false" ht="15" hidden="false" customHeight="false" outlineLevel="0" collapsed="false">
      <c r="A217" s="18"/>
      <c r="B217" s="5"/>
      <c r="C217" s="5"/>
      <c r="D217" s="4"/>
    </row>
    <row r="218" customFormat="false" ht="15" hidden="false" customHeight="false" outlineLevel="0" collapsed="false">
      <c r="A218" s="18"/>
      <c r="B218" s="5"/>
      <c r="C218" s="5"/>
      <c r="D218" s="4"/>
    </row>
    <row r="219" customFormat="false" ht="15" hidden="false" customHeight="false" outlineLevel="0" collapsed="false">
      <c r="A219" s="18"/>
      <c r="B219" s="5"/>
      <c r="C219" s="5"/>
      <c r="D219" s="4"/>
    </row>
    <row r="220" customFormat="false" ht="15" hidden="false" customHeight="false" outlineLevel="0" collapsed="false">
      <c r="A220" s="18"/>
      <c r="B220" s="5"/>
      <c r="C220" s="5"/>
      <c r="D220" s="4"/>
    </row>
    <row r="221" customFormat="false" ht="15" hidden="false" customHeight="false" outlineLevel="0" collapsed="false">
      <c r="A221" s="18"/>
      <c r="B221" s="5"/>
      <c r="C221" s="5"/>
      <c r="D221" s="4"/>
    </row>
    <row r="222" customFormat="false" ht="15" hidden="false" customHeight="false" outlineLevel="0" collapsed="false">
      <c r="A222" s="18"/>
      <c r="B222" s="5"/>
      <c r="C222" s="5"/>
      <c r="D222" s="4"/>
    </row>
    <row r="223" customFormat="false" ht="15" hidden="false" customHeight="false" outlineLevel="0" collapsed="false">
      <c r="A223" s="18"/>
      <c r="B223" s="5"/>
      <c r="C223" s="5"/>
      <c r="D223" s="4"/>
    </row>
    <row r="224" customFormat="false" ht="15" hidden="false" customHeight="false" outlineLevel="0" collapsed="false">
      <c r="A224" s="18"/>
      <c r="B224" s="5"/>
      <c r="C224" s="5"/>
      <c r="D224" s="4"/>
    </row>
    <row r="225" customFormat="false" ht="15" hidden="false" customHeight="false" outlineLevel="0" collapsed="false">
      <c r="A225" s="18"/>
      <c r="B225" s="5"/>
      <c r="C225" s="5"/>
      <c r="D225" s="4"/>
    </row>
    <row r="226" customFormat="false" ht="15" hidden="false" customHeight="false" outlineLevel="0" collapsed="false">
      <c r="A226" s="18"/>
      <c r="B226" s="5"/>
      <c r="C226" s="5"/>
      <c r="D226" s="4"/>
    </row>
    <row r="227" customFormat="false" ht="15" hidden="false" customHeight="false" outlineLevel="0" collapsed="false">
      <c r="A227" s="18"/>
      <c r="B227" s="5"/>
      <c r="C227" s="5"/>
      <c r="D227" s="4"/>
    </row>
    <row r="228" customFormat="false" ht="15" hidden="false" customHeight="false" outlineLevel="0" collapsed="false">
      <c r="A228" s="18"/>
      <c r="B228" s="5"/>
      <c r="C228" s="5"/>
      <c r="D228" s="4"/>
    </row>
    <row r="229" customFormat="false" ht="15" hidden="false" customHeight="false" outlineLevel="0" collapsed="false">
      <c r="A229" s="18"/>
      <c r="B229" s="5"/>
      <c r="C229" s="5"/>
      <c r="D229" s="4"/>
    </row>
    <row r="230" customFormat="false" ht="15" hidden="false" customHeight="false" outlineLevel="0" collapsed="false">
      <c r="A230" s="18"/>
      <c r="B230" s="5"/>
      <c r="C230" s="5"/>
      <c r="D230" s="4"/>
    </row>
    <row r="231" customFormat="false" ht="15" hidden="false" customHeight="false" outlineLevel="0" collapsed="false">
      <c r="A231" s="18"/>
      <c r="B231" s="5"/>
      <c r="C231" s="5"/>
      <c r="D231" s="4"/>
    </row>
    <row r="232" customFormat="false" ht="15" hidden="false" customHeight="false" outlineLevel="0" collapsed="false">
      <c r="A232" s="18"/>
      <c r="B232" s="5"/>
      <c r="C232" s="5"/>
      <c r="D232" s="4"/>
    </row>
    <row r="233" customFormat="false" ht="15" hidden="false" customHeight="false" outlineLevel="0" collapsed="false">
      <c r="A233" s="18"/>
      <c r="B233" s="5"/>
      <c r="C233" s="5"/>
      <c r="D233" s="4"/>
    </row>
    <row r="234" customFormat="false" ht="15" hidden="false" customHeight="false" outlineLevel="0" collapsed="false">
      <c r="A234" s="18"/>
      <c r="B234" s="5"/>
      <c r="C234" s="5"/>
      <c r="D234" s="4"/>
    </row>
    <row r="235" customFormat="false" ht="15" hidden="false" customHeight="false" outlineLevel="0" collapsed="false">
      <c r="A235" s="18"/>
      <c r="B235" s="5"/>
      <c r="C235" s="5"/>
      <c r="D235" s="4"/>
    </row>
    <row r="236" customFormat="false" ht="15" hidden="false" customHeight="false" outlineLevel="0" collapsed="false">
      <c r="A236" s="18"/>
      <c r="B236" s="5"/>
      <c r="C236" s="5"/>
      <c r="D236" s="4"/>
    </row>
    <row r="237" customFormat="false" ht="15" hidden="false" customHeight="false" outlineLevel="0" collapsed="false">
      <c r="A237" s="18"/>
      <c r="B237" s="5"/>
      <c r="C237" s="5"/>
      <c r="D237" s="4"/>
    </row>
    <row r="238" customFormat="false" ht="15" hidden="false" customHeight="false" outlineLevel="0" collapsed="false">
      <c r="A238" s="18"/>
      <c r="B238" s="5"/>
      <c r="C238" s="5"/>
      <c r="D238" s="4"/>
    </row>
    <row r="239" customFormat="false" ht="15" hidden="false" customHeight="false" outlineLevel="0" collapsed="false">
      <c r="A239" s="18"/>
      <c r="B239" s="5"/>
      <c r="C239" s="5"/>
      <c r="D239" s="4"/>
    </row>
    <row r="240" customFormat="false" ht="15" hidden="false" customHeight="false" outlineLevel="0" collapsed="false">
      <c r="A240" s="18"/>
      <c r="B240" s="5"/>
      <c r="C240" s="5"/>
      <c r="D240" s="4"/>
    </row>
    <row r="241" customFormat="false" ht="15" hidden="false" customHeight="false" outlineLevel="0" collapsed="false">
      <c r="A241" s="18"/>
      <c r="B241" s="5"/>
      <c r="C241" s="5"/>
      <c r="D241" s="4"/>
    </row>
    <row r="242" customFormat="false" ht="15" hidden="false" customHeight="false" outlineLevel="0" collapsed="false">
      <c r="A242" s="18"/>
      <c r="B242" s="5"/>
      <c r="C242" s="5"/>
      <c r="D242" s="4"/>
    </row>
    <row r="243" customFormat="false" ht="15" hidden="false" customHeight="false" outlineLevel="0" collapsed="false">
      <c r="A243" s="18"/>
      <c r="B243" s="5"/>
      <c r="C243" s="5"/>
      <c r="D243" s="4"/>
    </row>
    <row r="244" customFormat="false" ht="15" hidden="false" customHeight="false" outlineLevel="0" collapsed="false">
      <c r="A244" s="18"/>
      <c r="B244" s="5"/>
      <c r="C244" s="5"/>
      <c r="D244" s="4"/>
    </row>
    <row r="245" customFormat="false" ht="15" hidden="false" customHeight="false" outlineLevel="0" collapsed="false">
      <c r="A245" s="18"/>
      <c r="B245" s="5"/>
      <c r="C245" s="5"/>
      <c r="D245" s="4"/>
    </row>
    <row r="246" customFormat="false" ht="15" hidden="false" customHeight="false" outlineLevel="0" collapsed="false">
      <c r="A246" s="18"/>
      <c r="B246" s="5"/>
      <c r="C246" s="5"/>
      <c r="D246" s="4"/>
    </row>
    <row r="247" customFormat="false" ht="15" hidden="false" customHeight="false" outlineLevel="0" collapsed="false">
      <c r="A247" s="18"/>
      <c r="B247" s="5"/>
      <c r="C247" s="5"/>
      <c r="D247" s="4"/>
    </row>
    <row r="248" customFormat="false" ht="15" hidden="false" customHeight="false" outlineLevel="0" collapsed="false">
      <c r="A248" s="18"/>
      <c r="B248" s="5"/>
      <c r="C248" s="5"/>
      <c r="D248" s="4"/>
    </row>
    <row r="249" customFormat="false" ht="15" hidden="false" customHeight="false" outlineLevel="0" collapsed="false">
      <c r="A249" s="18"/>
      <c r="B249" s="5"/>
      <c r="C249" s="5"/>
      <c r="D249" s="4"/>
    </row>
    <row r="250" customFormat="false" ht="15" hidden="false" customHeight="false" outlineLevel="0" collapsed="false">
      <c r="A250" s="18"/>
      <c r="B250" s="5"/>
      <c r="C250" s="5"/>
      <c r="D250" s="4"/>
    </row>
    <row r="251" customFormat="false" ht="15" hidden="false" customHeight="false" outlineLevel="0" collapsed="false">
      <c r="A251" s="18"/>
      <c r="B251" s="5"/>
      <c r="C251" s="5"/>
      <c r="D251" s="4"/>
    </row>
    <row r="252" customFormat="false" ht="15" hidden="false" customHeight="false" outlineLevel="0" collapsed="false">
      <c r="A252" s="18"/>
      <c r="B252" s="5"/>
      <c r="C252" s="5"/>
      <c r="D252" s="4"/>
    </row>
    <row r="253" customFormat="false" ht="15" hidden="false" customHeight="false" outlineLevel="0" collapsed="false">
      <c r="A253" s="18"/>
      <c r="B253" s="5"/>
      <c r="C253" s="5"/>
      <c r="D253" s="4"/>
    </row>
    <row r="254" customFormat="false" ht="15" hidden="false" customHeight="false" outlineLevel="0" collapsed="false">
      <c r="A254" s="18"/>
      <c r="B254" s="5"/>
      <c r="C254" s="5"/>
      <c r="D254" s="4"/>
    </row>
    <row r="255" customFormat="false" ht="15" hidden="false" customHeight="false" outlineLevel="0" collapsed="false">
      <c r="A255" s="18"/>
      <c r="B255" s="5"/>
      <c r="C255" s="5"/>
      <c r="D255" s="4"/>
    </row>
    <row r="256" customFormat="false" ht="15" hidden="false" customHeight="false" outlineLevel="0" collapsed="false">
      <c r="A256" s="18"/>
      <c r="B256" s="5"/>
      <c r="C256" s="5"/>
      <c r="D256" s="4"/>
    </row>
    <row r="257" customFormat="false" ht="15" hidden="false" customHeight="false" outlineLevel="0" collapsed="false">
      <c r="A257" s="18"/>
      <c r="B257" s="5"/>
      <c r="C257" s="5"/>
      <c r="D257" s="4"/>
    </row>
    <row r="258" customFormat="false" ht="15" hidden="false" customHeight="false" outlineLevel="0" collapsed="false">
      <c r="A258" s="18"/>
      <c r="B258" s="5"/>
      <c r="C258" s="5"/>
      <c r="D258" s="4"/>
    </row>
    <row r="259" customFormat="false" ht="15" hidden="false" customHeight="false" outlineLevel="0" collapsed="false">
      <c r="A259" s="18"/>
      <c r="B259" s="5"/>
      <c r="C259" s="5"/>
      <c r="D259" s="4"/>
    </row>
    <row r="260" customFormat="false" ht="15" hidden="false" customHeight="false" outlineLevel="0" collapsed="false">
      <c r="A260" s="18"/>
      <c r="B260" s="5"/>
      <c r="C260" s="5"/>
      <c r="D260" s="4"/>
    </row>
    <row r="261" customFormat="false" ht="15" hidden="false" customHeight="false" outlineLevel="0" collapsed="false">
      <c r="A261" s="18"/>
      <c r="B261" s="5"/>
      <c r="C261" s="5"/>
      <c r="D261" s="4"/>
    </row>
    <row r="262" customFormat="false" ht="15" hidden="false" customHeight="false" outlineLevel="0" collapsed="false">
      <c r="A262" s="18"/>
      <c r="B262" s="5"/>
      <c r="C262" s="5"/>
      <c r="D262" s="4"/>
    </row>
    <row r="263" customFormat="false" ht="15" hidden="false" customHeight="false" outlineLevel="0" collapsed="false">
      <c r="A263" s="18"/>
      <c r="B263" s="5"/>
      <c r="C263" s="5"/>
      <c r="D263" s="4"/>
    </row>
    <row r="264" customFormat="false" ht="15" hidden="false" customHeight="false" outlineLevel="0" collapsed="false">
      <c r="A264" s="18"/>
      <c r="B264" s="5"/>
      <c r="C264" s="5"/>
      <c r="D264" s="4"/>
    </row>
    <row r="265" customFormat="false" ht="15" hidden="false" customHeight="false" outlineLevel="0" collapsed="false">
      <c r="A265" s="18"/>
      <c r="B265" s="5"/>
      <c r="C265" s="5"/>
      <c r="D265" s="4"/>
    </row>
    <row r="266" customFormat="false" ht="15" hidden="false" customHeight="false" outlineLevel="0" collapsed="false">
      <c r="A266" s="18"/>
      <c r="B266" s="5"/>
      <c r="C266" s="5"/>
      <c r="D266" s="4"/>
    </row>
    <row r="267" customFormat="false" ht="15" hidden="false" customHeight="false" outlineLevel="0" collapsed="false">
      <c r="A267" s="18"/>
      <c r="B267" s="5"/>
      <c r="C267" s="5"/>
      <c r="D267" s="4"/>
    </row>
    <row r="268" customFormat="false" ht="15" hidden="false" customHeight="false" outlineLevel="0" collapsed="false">
      <c r="A268" s="18"/>
      <c r="B268" s="5"/>
      <c r="C268" s="5"/>
      <c r="D268" s="4"/>
    </row>
    <row r="269" customFormat="false" ht="15" hidden="false" customHeight="false" outlineLevel="0" collapsed="false">
      <c r="A269" s="18"/>
      <c r="B269" s="5"/>
      <c r="C269" s="5"/>
      <c r="D269" s="4"/>
    </row>
    <row r="270" customFormat="false" ht="15" hidden="false" customHeight="false" outlineLevel="0" collapsed="false">
      <c r="A270" s="18"/>
      <c r="B270" s="5"/>
      <c r="C270" s="5"/>
      <c r="D270" s="4"/>
    </row>
    <row r="271" customFormat="false" ht="15" hidden="false" customHeight="false" outlineLevel="0" collapsed="false">
      <c r="A271" s="18"/>
      <c r="B271" s="5"/>
      <c r="C271" s="5"/>
      <c r="D271" s="4"/>
    </row>
    <row r="272" customFormat="false" ht="15" hidden="false" customHeight="false" outlineLevel="0" collapsed="false">
      <c r="A272" s="18"/>
      <c r="B272" s="5"/>
      <c r="C272" s="5"/>
      <c r="D272" s="4"/>
    </row>
    <row r="273" customFormat="false" ht="15" hidden="false" customHeight="false" outlineLevel="0" collapsed="false">
      <c r="A273" s="18"/>
      <c r="B273" s="5"/>
      <c r="C273" s="5"/>
      <c r="D273" s="4"/>
    </row>
    <row r="274" customFormat="false" ht="15" hidden="false" customHeight="false" outlineLevel="0" collapsed="false">
      <c r="A274" s="18"/>
      <c r="B274" s="5"/>
      <c r="C274" s="5"/>
      <c r="D274" s="4"/>
    </row>
    <row r="275" customFormat="false" ht="15" hidden="false" customHeight="false" outlineLevel="0" collapsed="false">
      <c r="A275" s="18"/>
      <c r="B275" s="5"/>
      <c r="C275" s="5"/>
      <c r="D275" s="4"/>
    </row>
    <row r="276" customFormat="false" ht="15" hidden="false" customHeight="false" outlineLevel="0" collapsed="false">
      <c r="A276" s="18"/>
      <c r="B276" s="5"/>
      <c r="C276" s="5"/>
      <c r="D276" s="4"/>
    </row>
    <row r="277" customFormat="false" ht="15" hidden="false" customHeight="false" outlineLevel="0" collapsed="false">
      <c r="A277" s="18"/>
      <c r="B277" s="5"/>
      <c r="C277" s="5"/>
      <c r="D277" s="4"/>
    </row>
    <row r="278" customFormat="false" ht="15" hidden="false" customHeight="false" outlineLevel="0" collapsed="false">
      <c r="A278" s="18"/>
      <c r="B278" s="5"/>
      <c r="C278" s="5"/>
      <c r="D278" s="4"/>
    </row>
    <row r="279" customFormat="false" ht="15" hidden="false" customHeight="false" outlineLevel="0" collapsed="false">
      <c r="A279" s="18"/>
      <c r="B279" s="5"/>
      <c r="C279" s="5"/>
      <c r="D279" s="4"/>
    </row>
    <row r="280" customFormat="false" ht="15" hidden="false" customHeight="false" outlineLevel="0" collapsed="false">
      <c r="A280" s="18"/>
      <c r="B280" s="5"/>
      <c r="C280" s="5"/>
      <c r="D280" s="4"/>
    </row>
    <row r="281" customFormat="false" ht="15" hidden="false" customHeight="false" outlineLevel="0" collapsed="false">
      <c r="A281" s="18"/>
      <c r="B281" s="5"/>
      <c r="C281" s="5"/>
      <c r="D281" s="4"/>
    </row>
    <row r="282" customFormat="false" ht="15" hidden="false" customHeight="false" outlineLevel="0" collapsed="false">
      <c r="A282" s="18"/>
      <c r="B282" s="5"/>
      <c r="C282" s="5"/>
      <c r="D282" s="4"/>
    </row>
    <row r="283" customFormat="false" ht="15" hidden="false" customHeight="false" outlineLevel="0" collapsed="false">
      <c r="A283" s="18"/>
      <c r="B283" s="5"/>
      <c r="C283" s="5"/>
      <c r="D283" s="4"/>
    </row>
    <row r="284" customFormat="false" ht="15" hidden="false" customHeight="false" outlineLevel="0" collapsed="false">
      <c r="A284" s="18"/>
      <c r="B284" s="5"/>
      <c r="C284" s="5"/>
      <c r="D284" s="4"/>
    </row>
    <row r="285" customFormat="false" ht="15" hidden="false" customHeight="false" outlineLevel="0" collapsed="false">
      <c r="A285" s="18"/>
      <c r="B285" s="5"/>
      <c r="C285" s="5"/>
      <c r="D285" s="4"/>
    </row>
    <row r="286" customFormat="false" ht="15" hidden="false" customHeight="false" outlineLevel="0" collapsed="false">
      <c r="A286" s="18"/>
      <c r="B286" s="5"/>
      <c r="C286" s="5"/>
      <c r="D286" s="4"/>
    </row>
    <row r="287" customFormat="false" ht="15" hidden="false" customHeight="false" outlineLevel="0" collapsed="false">
      <c r="A287" s="18"/>
      <c r="B287" s="5"/>
      <c r="C287" s="5"/>
      <c r="D287" s="4"/>
    </row>
    <row r="288" customFormat="false" ht="15" hidden="false" customHeight="false" outlineLevel="0" collapsed="false">
      <c r="A288" s="18"/>
      <c r="B288" s="5"/>
      <c r="C288" s="5"/>
      <c r="D288" s="4"/>
    </row>
    <row r="289" customFormat="false" ht="15" hidden="false" customHeight="false" outlineLevel="0" collapsed="false">
      <c r="A289" s="18"/>
      <c r="B289" s="5"/>
      <c r="C289" s="5"/>
      <c r="D289" s="4"/>
    </row>
    <row r="290" customFormat="false" ht="15" hidden="false" customHeight="false" outlineLevel="0" collapsed="false">
      <c r="A290" s="18"/>
      <c r="B290" s="5"/>
      <c r="C290" s="5"/>
      <c r="D290" s="4"/>
    </row>
    <row r="291" customFormat="false" ht="15" hidden="false" customHeight="false" outlineLevel="0" collapsed="false">
      <c r="A291" s="18"/>
      <c r="B291" s="5"/>
      <c r="C291" s="5"/>
      <c r="D291" s="4"/>
    </row>
    <row r="292" customFormat="false" ht="15" hidden="false" customHeight="false" outlineLevel="0" collapsed="false">
      <c r="A292" s="18"/>
      <c r="B292" s="5"/>
      <c r="C292" s="5"/>
      <c r="D292" s="4"/>
    </row>
    <row r="293" customFormat="false" ht="15" hidden="false" customHeight="false" outlineLevel="0" collapsed="false">
      <c r="A293" s="18"/>
      <c r="B293" s="5"/>
      <c r="C293" s="5"/>
      <c r="D293" s="4"/>
    </row>
    <row r="294" customFormat="false" ht="15" hidden="false" customHeight="false" outlineLevel="0" collapsed="false">
      <c r="A294" s="18"/>
      <c r="B294" s="5"/>
      <c r="C294" s="5"/>
      <c r="D294" s="4"/>
    </row>
    <row r="295" customFormat="false" ht="15" hidden="false" customHeight="false" outlineLevel="0" collapsed="false">
      <c r="A295" s="18"/>
      <c r="B295" s="5"/>
      <c r="C295" s="5"/>
      <c r="D295" s="4"/>
    </row>
    <row r="296" customFormat="false" ht="15" hidden="false" customHeight="false" outlineLevel="0" collapsed="false">
      <c r="A296" s="18"/>
      <c r="B296" s="5"/>
      <c r="C296" s="5"/>
      <c r="D296" s="4"/>
    </row>
    <row r="297" customFormat="false" ht="15" hidden="false" customHeight="false" outlineLevel="0" collapsed="false">
      <c r="A297" s="18"/>
      <c r="B297" s="5"/>
      <c r="C297" s="5"/>
      <c r="D297" s="4"/>
    </row>
    <row r="298" customFormat="false" ht="15" hidden="false" customHeight="false" outlineLevel="0" collapsed="false">
      <c r="A298" s="18"/>
      <c r="B298" s="5"/>
      <c r="C298" s="5"/>
      <c r="D298" s="4"/>
    </row>
    <row r="299" customFormat="false" ht="15" hidden="false" customHeight="false" outlineLevel="0" collapsed="false">
      <c r="A299" s="18"/>
      <c r="B299" s="5"/>
      <c r="C299" s="5"/>
      <c r="D299" s="4"/>
    </row>
    <row r="300" customFormat="false" ht="15" hidden="false" customHeight="false" outlineLevel="0" collapsed="false">
      <c r="A300" s="18"/>
      <c r="B300" s="5"/>
      <c r="C300" s="5"/>
      <c r="D300" s="4"/>
    </row>
    <row r="301" customFormat="false" ht="15" hidden="false" customHeight="false" outlineLevel="0" collapsed="false">
      <c r="A301" s="18"/>
      <c r="B301" s="5"/>
      <c r="C301" s="5"/>
      <c r="D301" s="4"/>
    </row>
    <row r="302" customFormat="false" ht="15" hidden="false" customHeight="false" outlineLevel="0" collapsed="false">
      <c r="A302" s="18"/>
      <c r="B302" s="5"/>
      <c r="C302" s="5"/>
      <c r="D302" s="4"/>
    </row>
    <row r="303" customFormat="false" ht="15" hidden="false" customHeight="false" outlineLevel="0" collapsed="false">
      <c r="A303" s="18"/>
      <c r="B303" s="5"/>
      <c r="C303" s="5"/>
      <c r="D303" s="4"/>
    </row>
    <row r="304" customFormat="false" ht="15" hidden="false" customHeight="false" outlineLevel="0" collapsed="false">
      <c r="A304" s="18"/>
      <c r="B304" s="5"/>
      <c r="C304" s="5"/>
      <c r="D304" s="4"/>
    </row>
    <row r="305" customFormat="false" ht="15" hidden="false" customHeight="false" outlineLevel="0" collapsed="false">
      <c r="A305" s="18"/>
      <c r="B305" s="5"/>
      <c r="C305" s="5"/>
      <c r="D305" s="4"/>
    </row>
    <row r="306" customFormat="false" ht="15" hidden="false" customHeight="false" outlineLevel="0" collapsed="false">
      <c r="A306" s="18"/>
      <c r="B306" s="5"/>
      <c r="C306" s="5"/>
      <c r="D306" s="4"/>
    </row>
    <row r="307" customFormat="false" ht="15" hidden="false" customHeight="false" outlineLevel="0" collapsed="false">
      <c r="A307" s="18"/>
      <c r="B307" s="5"/>
      <c r="C307" s="5"/>
      <c r="D307" s="4"/>
    </row>
    <row r="308" customFormat="false" ht="15" hidden="false" customHeight="false" outlineLevel="0" collapsed="false">
      <c r="A308" s="18"/>
      <c r="B308" s="5"/>
      <c r="C308" s="5"/>
      <c r="D308" s="4"/>
    </row>
    <row r="309" customFormat="false" ht="15" hidden="false" customHeight="false" outlineLevel="0" collapsed="false">
      <c r="A309" s="18"/>
      <c r="B309" s="5"/>
      <c r="C309" s="5"/>
      <c r="D309" s="4"/>
    </row>
    <row r="310" customFormat="false" ht="15" hidden="false" customHeight="false" outlineLevel="0" collapsed="false">
      <c r="A310" s="18"/>
      <c r="B310" s="5"/>
      <c r="C310" s="5"/>
      <c r="D310" s="4"/>
    </row>
    <row r="311" customFormat="false" ht="15" hidden="false" customHeight="false" outlineLevel="0" collapsed="false">
      <c r="A311" s="18"/>
      <c r="B311" s="5"/>
      <c r="C311" s="5"/>
      <c r="D311" s="4"/>
    </row>
    <row r="312" customFormat="false" ht="15" hidden="false" customHeight="false" outlineLevel="0" collapsed="false">
      <c r="A312" s="18"/>
      <c r="B312" s="5"/>
      <c r="C312" s="5"/>
      <c r="D312" s="4"/>
    </row>
    <row r="313" customFormat="false" ht="15" hidden="false" customHeight="false" outlineLevel="0" collapsed="false">
      <c r="A313" s="18"/>
      <c r="B313" s="5"/>
      <c r="C313" s="5"/>
      <c r="D313" s="4"/>
    </row>
    <row r="314" customFormat="false" ht="15" hidden="false" customHeight="false" outlineLevel="0" collapsed="false">
      <c r="A314" s="18"/>
      <c r="B314" s="5"/>
      <c r="C314" s="5"/>
      <c r="D314" s="4"/>
    </row>
    <row r="315" customFormat="false" ht="15" hidden="false" customHeight="false" outlineLevel="0" collapsed="false">
      <c r="A315" s="18"/>
      <c r="B315" s="5"/>
      <c r="C315" s="5"/>
      <c r="D315" s="4"/>
    </row>
    <row r="316" customFormat="false" ht="15" hidden="false" customHeight="false" outlineLevel="0" collapsed="false">
      <c r="A316" s="18"/>
      <c r="B316" s="5"/>
      <c r="C316" s="5"/>
      <c r="D316" s="4"/>
    </row>
    <row r="317" customFormat="false" ht="15" hidden="false" customHeight="false" outlineLevel="0" collapsed="false">
      <c r="A317" s="18"/>
      <c r="B317" s="5"/>
      <c r="C317" s="5"/>
      <c r="D317" s="4"/>
    </row>
    <row r="318" customFormat="false" ht="15" hidden="false" customHeight="false" outlineLevel="0" collapsed="false">
      <c r="A318" s="18"/>
      <c r="B318" s="5"/>
      <c r="C318" s="5"/>
      <c r="D318" s="4"/>
    </row>
    <row r="319" customFormat="false" ht="15" hidden="false" customHeight="false" outlineLevel="0" collapsed="false">
      <c r="A319" s="18"/>
      <c r="B319" s="5"/>
      <c r="C319" s="5"/>
      <c r="D319" s="4"/>
    </row>
    <row r="320" customFormat="false" ht="15" hidden="false" customHeight="false" outlineLevel="0" collapsed="false">
      <c r="A320" s="18"/>
      <c r="B320" s="5"/>
      <c r="C320" s="5"/>
      <c r="D320" s="4"/>
    </row>
    <row r="321" customFormat="false" ht="15" hidden="false" customHeight="false" outlineLevel="0" collapsed="false">
      <c r="A321" s="18"/>
      <c r="B321" s="5"/>
      <c r="C321" s="5"/>
      <c r="D321" s="4"/>
    </row>
    <row r="322" customFormat="false" ht="15" hidden="false" customHeight="false" outlineLevel="0" collapsed="false">
      <c r="A322" s="18"/>
      <c r="B322" s="5"/>
      <c r="C322" s="5"/>
      <c r="D322" s="4"/>
    </row>
    <row r="323" customFormat="false" ht="15" hidden="false" customHeight="false" outlineLevel="0" collapsed="false">
      <c r="A323" s="18"/>
      <c r="B323" s="5"/>
      <c r="C323" s="5"/>
      <c r="D323" s="4"/>
    </row>
    <row r="324" customFormat="false" ht="15" hidden="false" customHeight="false" outlineLevel="0" collapsed="false">
      <c r="A324" s="18"/>
      <c r="B324" s="5"/>
      <c r="C324" s="5"/>
      <c r="D324" s="4"/>
    </row>
    <row r="325" customFormat="false" ht="15" hidden="false" customHeight="false" outlineLevel="0" collapsed="false">
      <c r="A325" s="18"/>
      <c r="B325" s="5"/>
      <c r="C325" s="5"/>
      <c r="D325" s="4"/>
    </row>
    <row r="326" customFormat="false" ht="15" hidden="false" customHeight="false" outlineLevel="0" collapsed="false">
      <c r="A326" s="18"/>
      <c r="B326" s="5"/>
      <c r="C326" s="5"/>
      <c r="D326" s="4"/>
    </row>
    <row r="327" customFormat="false" ht="15" hidden="false" customHeight="false" outlineLevel="0" collapsed="false">
      <c r="A327" s="18"/>
      <c r="B327" s="5"/>
      <c r="C327" s="5"/>
      <c r="D327" s="4"/>
    </row>
    <row r="328" customFormat="false" ht="15" hidden="false" customHeight="false" outlineLevel="0" collapsed="false">
      <c r="A328" s="18"/>
      <c r="B328" s="5"/>
      <c r="C328" s="5"/>
      <c r="D328" s="4"/>
    </row>
    <row r="329" customFormat="false" ht="15" hidden="false" customHeight="false" outlineLevel="0" collapsed="false">
      <c r="A329" s="18"/>
      <c r="B329" s="5"/>
      <c r="C329" s="5"/>
      <c r="D329" s="4"/>
    </row>
    <row r="330" customFormat="false" ht="15" hidden="false" customHeight="false" outlineLevel="0" collapsed="false">
      <c r="A330" s="18"/>
      <c r="B330" s="5"/>
      <c r="C330" s="5"/>
      <c r="D330" s="4"/>
    </row>
    <row r="331" customFormat="false" ht="15" hidden="false" customHeight="false" outlineLevel="0" collapsed="false">
      <c r="A331" s="18"/>
      <c r="B331" s="5"/>
      <c r="C331" s="5"/>
      <c r="D331" s="4"/>
    </row>
    <row r="332" customFormat="false" ht="15" hidden="false" customHeight="false" outlineLevel="0" collapsed="false">
      <c r="A332" s="18"/>
      <c r="B332" s="5"/>
      <c r="C332" s="5"/>
      <c r="D332" s="4"/>
    </row>
    <row r="333" customFormat="false" ht="15" hidden="false" customHeight="false" outlineLevel="0" collapsed="false">
      <c r="A333" s="18"/>
      <c r="B333" s="5"/>
      <c r="C333" s="5"/>
      <c r="D333" s="4"/>
    </row>
    <row r="334" customFormat="false" ht="15" hidden="false" customHeight="false" outlineLevel="0" collapsed="false">
      <c r="A334" s="18"/>
      <c r="B334" s="5"/>
      <c r="C334" s="5"/>
      <c r="D334" s="4"/>
    </row>
    <row r="335" customFormat="false" ht="15" hidden="false" customHeight="false" outlineLevel="0" collapsed="false">
      <c r="A335" s="18"/>
      <c r="B335" s="5"/>
      <c r="C335" s="5"/>
      <c r="D335" s="4"/>
    </row>
    <row r="336" customFormat="false" ht="15" hidden="false" customHeight="false" outlineLevel="0" collapsed="false">
      <c r="A336" s="18"/>
      <c r="B336" s="5"/>
      <c r="C336" s="5"/>
      <c r="D336" s="4"/>
    </row>
    <row r="337" customFormat="false" ht="15" hidden="false" customHeight="false" outlineLevel="0" collapsed="false">
      <c r="A337" s="18"/>
      <c r="B337" s="5"/>
      <c r="C337" s="5"/>
      <c r="D337" s="4"/>
    </row>
    <row r="338" customFormat="false" ht="15" hidden="false" customHeight="false" outlineLevel="0" collapsed="false">
      <c r="A338" s="18"/>
      <c r="B338" s="5"/>
      <c r="C338" s="5"/>
      <c r="D338" s="4"/>
    </row>
    <row r="339" customFormat="false" ht="15" hidden="false" customHeight="false" outlineLevel="0" collapsed="false">
      <c r="A339" s="18"/>
      <c r="B339" s="5"/>
      <c r="C339" s="5"/>
      <c r="D339" s="4"/>
    </row>
    <row r="340" customFormat="false" ht="15" hidden="false" customHeight="false" outlineLevel="0" collapsed="false">
      <c r="A340" s="18"/>
      <c r="B340" s="5"/>
      <c r="C340" s="5"/>
      <c r="D340" s="4"/>
    </row>
    <row r="341" customFormat="false" ht="15" hidden="false" customHeight="false" outlineLevel="0" collapsed="false">
      <c r="A341" s="18"/>
      <c r="B341" s="5"/>
      <c r="C341" s="5"/>
      <c r="D341" s="4"/>
    </row>
    <row r="342" customFormat="false" ht="15" hidden="false" customHeight="false" outlineLevel="0" collapsed="false">
      <c r="A342" s="18"/>
      <c r="B342" s="5"/>
      <c r="C342" s="5"/>
      <c r="D342" s="4"/>
    </row>
    <row r="343" customFormat="false" ht="15" hidden="false" customHeight="false" outlineLevel="0" collapsed="false">
      <c r="A343" s="18"/>
      <c r="B343" s="5"/>
      <c r="C343" s="5"/>
      <c r="D343" s="4"/>
    </row>
    <row r="344" customFormat="false" ht="15" hidden="false" customHeight="false" outlineLevel="0" collapsed="false">
      <c r="A344" s="18"/>
      <c r="B344" s="5"/>
      <c r="C344" s="5"/>
      <c r="D344" s="4"/>
    </row>
    <row r="345" customFormat="false" ht="15" hidden="false" customHeight="false" outlineLevel="0" collapsed="false">
      <c r="A345" s="18"/>
      <c r="B345" s="5"/>
      <c r="C345" s="5"/>
      <c r="D345" s="4"/>
    </row>
    <row r="346" customFormat="false" ht="15" hidden="false" customHeight="false" outlineLevel="0" collapsed="false">
      <c r="A346" s="18"/>
      <c r="B346" s="5"/>
      <c r="C346" s="5"/>
      <c r="D346" s="4"/>
    </row>
    <row r="347" customFormat="false" ht="15" hidden="false" customHeight="false" outlineLevel="0" collapsed="false">
      <c r="A347" s="18"/>
      <c r="B347" s="5"/>
      <c r="C347" s="5"/>
      <c r="D347" s="4"/>
    </row>
    <row r="348" customFormat="false" ht="15" hidden="false" customHeight="false" outlineLevel="0" collapsed="false">
      <c r="A348" s="18"/>
      <c r="B348" s="5"/>
      <c r="C348" s="5"/>
      <c r="D348" s="4"/>
    </row>
    <row r="349" customFormat="false" ht="15" hidden="false" customHeight="false" outlineLevel="0" collapsed="false">
      <c r="A349" s="18"/>
      <c r="B349" s="5"/>
      <c r="C349" s="5"/>
      <c r="D349" s="4"/>
    </row>
    <row r="350" customFormat="false" ht="15" hidden="false" customHeight="false" outlineLevel="0" collapsed="false">
      <c r="A350" s="18"/>
      <c r="B350" s="5"/>
      <c r="C350" s="5"/>
      <c r="D350" s="4"/>
    </row>
    <row r="351" customFormat="false" ht="15" hidden="false" customHeight="false" outlineLevel="0" collapsed="false">
      <c r="A351" s="18"/>
      <c r="B351" s="5"/>
      <c r="C351" s="5"/>
      <c r="D351" s="4"/>
    </row>
    <row r="352" customFormat="false" ht="15" hidden="false" customHeight="false" outlineLevel="0" collapsed="false">
      <c r="A352" s="18"/>
      <c r="B352" s="5"/>
      <c r="C352" s="5"/>
      <c r="D352" s="4"/>
    </row>
    <row r="353" customFormat="false" ht="15" hidden="false" customHeight="false" outlineLevel="0" collapsed="false">
      <c r="A353" s="18"/>
      <c r="B353" s="5"/>
      <c r="C353" s="5"/>
      <c r="D353" s="4"/>
    </row>
    <row r="354" customFormat="false" ht="15" hidden="false" customHeight="false" outlineLevel="0" collapsed="false">
      <c r="A354" s="18"/>
      <c r="B354" s="5"/>
      <c r="C354" s="5"/>
      <c r="D354" s="4"/>
    </row>
    <row r="355" customFormat="false" ht="15" hidden="false" customHeight="false" outlineLevel="0" collapsed="false">
      <c r="A355" s="18"/>
      <c r="B355" s="5"/>
      <c r="C355" s="5"/>
      <c r="D355" s="4"/>
    </row>
    <row r="356" customFormat="false" ht="15" hidden="false" customHeight="false" outlineLevel="0" collapsed="false">
      <c r="A356" s="18"/>
      <c r="B356" s="5"/>
      <c r="C356" s="5"/>
      <c r="D356" s="4"/>
    </row>
    <row r="357" customFormat="false" ht="15" hidden="false" customHeight="false" outlineLevel="0" collapsed="false">
      <c r="A357" s="18"/>
      <c r="B357" s="5"/>
      <c r="C357" s="5"/>
      <c r="D357" s="4"/>
    </row>
    <row r="358" customFormat="false" ht="15" hidden="false" customHeight="false" outlineLevel="0" collapsed="false">
      <c r="A358" s="18"/>
      <c r="B358" s="5"/>
      <c r="C358" s="5"/>
      <c r="D358" s="4"/>
    </row>
    <row r="359" customFormat="false" ht="15" hidden="false" customHeight="false" outlineLevel="0" collapsed="false">
      <c r="A359" s="18"/>
      <c r="B359" s="5"/>
      <c r="C359" s="5"/>
      <c r="D359" s="4"/>
    </row>
    <row r="360" customFormat="false" ht="15" hidden="false" customHeight="false" outlineLevel="0" collapsed="false">
      <c r="A360" s="18"/>
      <c r="B360" s="5"/>
      <c r="C360" s="5"/>
      <c r="D360" s="4"/>
    </row>
    <row r="361" customFormat="false" ht="15" hidden="false" customHeight="false" outlineLevel="0" collapsed="false">
      <c r="A361" s="18"/>
      <c r="B361" s="5"/>
      <c r="C361" s="5"/>
      <c r="D361" s="4"/>
    </row>
    <row r="362" customFormat="false" ht="15" hidden="false" customHeight="false" outlineLevel="0" collapsed="false">
      <c r="A362" s="18"/>
      <c r="B362" s="5"/>
      <c r="C362" s="5"/>
      <c r="D362" s="4"/>
    </row>
    <row r="363" customFormat="false" ht="15" hidden="false" customHeight="false" outlineLevel="0" collapsed="false">
      <c r="A363" s="18"/>
      <c r="B363" s="5"/>
      <c r="C363" s="5"/>
      <c r="D363" s="4"/>
    </row>
    <row r="364" customFormat="false" ht="15" hidden="false" customHeight="false" outlineLevel="0" collapsed="false">
      <c r="A364" s="18"/>
      <c r="B364" s="5"/>
      <c r="C364" s="5"/>
      <c r="D364" s="4"/>
    </row>
    <row r="365" customFormat="false" ht="15" hidden="false" customHeight="false" outlineLevel="0" collapsed="false">
      <c r="A365" s="18"/>
      <c r="B365" s="5"/>
      <c r="C365" s="5"/>
      <c r="D365" s="4"/>
    </row>
    <row r="366" customFormat="false" ht="15" hidden="false" customHeight="false" outlineLevel="0" collapsed="false">
      <c r="A366" s="18"/>
      <c r="B366" s="5"/>
      <c r="C366" s="5"/>
      <c r="D366" s="4"/>
    </row>
    <row r="367" customFormat="false" ht="15" hidden="false" customHeight="false" outlineLevel="0" collapsed="false">
      <c r="A367" s="18"/>
      <c r="B367" s="5"/>
      <c r="C367" s="5"/>
      <c r="D367" s="4"/>
    </row>
    <row r="368" customFormat="false" ht="15" hidden="false" customHeight="false" outlineLevel="0" collapsed="false">
      <c r="A368" s="18"/>
      <c r="B368" s="5"/>
      <c r="C368" s="5"/>
      <c r="D368" s="4"/>
    </row>
    <row r="369" customFormat="false" ht="15" hidden="false" customHeight="false" outlineLevel="0" collapsed="false">
      <c r="A369" s="18"/>
      <c r="B369" s="5"/>
      <c r="C369" s="5"/>
      <c r="D369" s="4"/>
    </row>
    <row r="370" customFormat="false" ht="15" hidden="false" customHeight="false" outlineLevel="0" collapsed="false">
      <c r="A370" s="18"/>
      <c r="B370" s="5"/>
      <c r="C370" s="5"/>
      <c r="D370" s="4"/>
    </row>
    <row r="371" customFormat="false" ht="15" hidden="false" customHeight="false" outlineLevel="0" collapsed="false">
      <c r="A371" s="18"/>
      <c r="B371" s="5"/>
      <c r="C371" s="5"/>
      <c r="D371" s="4"/>
    </row>
    <row r="372" customFormat="false" ht="15" hidden="false" customHeight="false" outlineLevel="0" collapsed="false">
      <c r="A372" s="18"/>
      <c r="B372" s="5"/>
      <c r="C372" s="5"/>
      <c r="D372" s="4"/>
    </row>
    <row r="373" customFormat="false" ht="15" hidden="false" customHeight="false" outlineLevel="0" collapsed="false">
      <c r="A373" s="18"/>
      <c r="B373" s="5"/>
      <c r="C373" s="5"/>
      <c r="D373" s="4"/>
    </row>
    <row r="374" customFormat="false" ht="15" hidden="false" customHeight="false" outlineLevel="0" collapsed="false">
      <c r="A374" s="18"/>
      <c r="B374" s="5"/>
      <c r="C374" s="5"/>
      <c r="D374" s="4"/>
    </row>
    <row r="375" customFormat="false" ht="15" hidden="false" customHeight="false" outlineLevel="0" collapsed="false">
      <c r="A375" s="18"/>
      <c r="B375" s="5"/>
      <c r="C375" s="5"/>
      <c r="D375" s="4"/>
    </row>
    <row r="376" customFormat="false" ht="15" hidden="false" customHeight="false" outlineLevel="0" collapsed="false">
      <c r="A376" s="18"/>
      <c r="B376" s="5"/>
      <c r="C376" s="5"/>
      <c r="D376" s="4"/>
    </row>
    <row r="377" customFormat="false" ht="15" hidden="false" customHeight="false" outlineLevel="0" collapsed="false">
      <c r="A377" s="18"/>
      <c r="B377" s="5"/>
      <c r="C377" s="5"/>
      <c r="D377" s="4"/>
    </row>
    <row r="378" customFormat="false" ht="15" hidden="false" customHeight="false" outlineLevel="0" collapsed="false">
      <c r="A378" s="18"/>
      <c r="B378" s="5"/>
      <c r="C378" s="5"/>
      <c r="D378" s="4"/>
    </row>
    <row r="379" customFormat="false" ht="15" hidden="false" customHeight="false" outlineLevel="0" collapsed="false">
      <c r="A379" s="18"/>
      <c r="B379" s="5"/>
      <c r="C379" s="5"/>
      <c r="D379" s="4"/>
    </row>
    <row r="380" customFormat="false" ht="15" hidden="false" customHeight="false" outlineLevel="0" collapsed="false">
      <c r="A380" s="18"/>
      <c r="B380" s="5"/>
      <c r="C380" s="5"/>
      <c r="D380" s="4"/>
    </row>
    <row r="381" customFormat="false" ht="15" hidden="false" customHeight="false" outlineLevel="0" collapsed="false">
      <c r="A381" s="18"/>
      <c r="B381" s="5"/>
      <c r="C381" s="5"/>
      <c r="D381" s="4"/>
    </row>
    <row r="382" customFormat="false" ht="15" hidden="false" customHeight="false" outlineLevel="0" collapsed="false">
      <c r="A382" s="18"/>
      <c r="B382" s="5"/>
      <c r="C382" s="5"/>
      <c r="D382" s="4"/>
    </row>
    <row r="383" customFormat="false" ht="15" hidden="false" customHeight="false" outlineLevel="0" collapsed="false">
      <c r="A383" s="18"/>
      <c r="B383" s="5"/>
      <c r="C383" s="5"/>
      <c r="D383" s="4"/>
    </row>
    <row r="384" customFormat="false" ht="15" hidden="false" customHeight="false" outlineLevel="0" collapsed="false">
      <c r="A384" s="18"/>
      <c r="B384" s="5"/>
      <c r="C384" s="5"/>
      <c r="D384" s="4"/>
    </row>
    <row r="385" customFormat="false" ht="15" hidden="false" customHeight="false" outlineLevel="0" collapsed="false">
      <c r="A385" s="18"/>
      <c r="B385" s="5"/>
      <c r="C385" s="5"/>
      <c r="D385" s="4"/>
    </row>
    <row r="386" customFormat="false" ht="15" hidden="false" customHeight="false" outlineLevel="0" collapsed="false">
      <c r="A386" s="18"/>
      <c r="B386" s="5"/>
      <c r="C386" s="5"/>
      <c r="D386" s="4"/>
    </row>
    <row r="387" customFormat="false" ht="15" hidden="false" customHeight="false" outlineLevel="0" collapsed="false">
      <c r="A387" s="18"/>
      <c r="B387" s="5"/>
      <c r="C387" s="5"/>
      <c r="D387" s="4"/>
    </row>
    <row r="388" customFormat="false" ht="15" hidden="false" customHeight="false" outlineLevel="0" collapsed="false">
      <c r="A388" s="18"/>
      <c r="B388" s="5"/>
      <c r="C388" s="5"/>
      <c r="D388" s="4"/>
    </row>
    <row r="389" customFormat="false" ht="15" hidden="false" customHeight="false" outlineLevel="0" collapsed="false">
      <c r="A389" s="18"/>
      <c r="B389" s="5"/>
      <c r="C389" s="5"/>
      <c r="D389" s="4"/>
    </row>
    <row r="390" customFormat="false" ht="15" hidden="false" customHeight="false" outlineLevel="0" collapsed="false">
      <c r="A390" s="18"/>
      <c r="B390" s="5"/>
      <c r="C390" s="5"/>
      <c r="D390" s="4"/>
    </row>
    <row r="391" customFormat="false" ht="15" hidden="false" customHeight="false" outlineLevel="0" collapsed="false">
      <c r="A391" s="18"/>
      <c r="B391" s="5"/>
      <c r="C391" s="5"/>
      <c r="D391" s="4"/>
    </row>
    <row r="392" customFormat="false" ht="15" hidden="false" customHeight="false" outlineLevel="0" collapsed="false">
      <c r="A392" s="18"/>
      <c r="B392" s="5"/>
      <c r="C392" s="5"/>
      <c r="D392" s="4"/>
    </row>
    <row r="393" customFormat="false" ht="15" hidden="false" customHeight="false" outlineLevel="0" collapsed="false">
      <c r="A393" s="18"/>
      <c r="B393" s="5"/>
      <c r="C393" s="5"/>
      <c r="D393" s="4"/>
    </row>
    <row r="394" customFormat="false" ht="15" hidden="false" customHeight="false" outlineLevel="0" collapsed="false">
      <c r="A394" s="18"/>
      <c r="B394" s="5"/>
      <c r="C394" s="5"/>
      <c r="D394" s="4"/>
    </row>
    <row r="395" customFormat="false" ht="15" hidden="false" customHeight="false" outlineLevel="0" collapsed="false">
      <c r="A395" s="18"/>
      <c r="B395" s="5"/>
      <c r="C395" s="5"/>
      <c r="D395" s="4"/>
    </row>
    <row r="396" customFormat="false" ht="15" hidden="false" customHeight="false" outlineLevel="0" collapsed="false">
      <c r="A396" s="18"/>
      <c r="B396" s="5"/>
      <c r="C396" s="5"/>
      <c r="D396" s="4"/>
    </row>
    <row r="397" customFormat="false" ht="15" hidden="false" customHeight="false" outlineLevel="0" collapsed="false">
      <c r="A397" s="18"/>
      <c r="B397" s="5"/>
      <c r="C397" s="5"/>
      <c r="D397" s="4"/>
    </row>
    <row r="398" customFormat="false" ht="15" hidden="false" customHeight="false" outlineLevel="0" collapsed="false">
      <c r="A398" s="18"/>
      <c r="B398" s="5"/>
      <c r="C398" s="5"/>
      <c r="D398" s="4"/>
    </row>
    <row r="399" customFormat="false" ht="15" hidden="false" customHeight="false" outlineLevel="0" collapsed="false">
      <c r="A399" s="18"/>
      <c r="B399" s="5"/>
      <c r="C399" s="5"/>
      <c r="D399" s="4"/>
    </row>
    <row r="400" customFormat="false" ht="15" hidden="false" customHeight="false" outlineLevel="0" collapsed="false">
      <c r="A400" s="18"/>
      <c r="B400" s="5"/>
      <c r="C400" s="5"/>
      <c r="D400" s="4"/>
    </row>
    <row r="401" customFormat="false" ht="15" hidden="false" customHeight="false" outlineLevel="0" collapsed="false">
      <c r="A401" s="18"/>
      <c r="B401" s="5"/>
      <c r="C401" s="5"/>
      <c r="D401" s="4"/>
    </row>
    <row r="402" customFormat="false" ht="15" hidden="false" customHeight="false" outlineLevel="0" collapsed="false">
      <c r="A402" s="18"/>
      <c r="B402" s="5"/>
      <c r="C402" s="5"/>
      <c r="D402" s="4"/>
    </row>
    <row r="403" customFormat="false" ht="15" hidden="false" customHeight="false" outlineLevel="0" collapsed="false">
      <c r="A403" s="18"/>
      <c r="B403" s="5"/>
      <c r="C403" s="5"/>
      <c r="D403" s="4"/>
    </row>
    <row r="404" customFormat="false" ht="15" hidden="false" customHeight="false" outlineLevel="0" collapsed="false">
      <c r="A404" s="18"/>
      <c r="B404" s="5"/>
      <c r="C404" s="5"/>
      <c r="D404" s="4"/>
    </row>
    <row r="405" customFormat="false" ht="15" hidden="false" customHeight="false" outlineLevel="0" collapsed="false">
      <c r="A405" s="18"/>
      <c r="B405" s="5"/>
      <c r="C405" s="5"/>
      <c r="D405" s="4"/>
    </row>
    <row r="406" customFormat="false" ht="15" hidden="false" customHeight="false" outlineLevel="0" collapsed="false">
      <c r="A406" s="18"/>
      <c r="B406" s="5"/>
      <c r="C406" s="5"/>
      <c r="D406" s="4"/>
    </row>
    <row r="407" customFormat="false" ht="15" hidden="false" customHeight="false" outlineLevel="0" collapsed="false">
      <c r="A407" s="18"/>
      <c r="B407" s="5"/>
      <c r="C407" s="5"/>
      <c r="D407" s="4"/>
    </row>
    <row r="408" customFormat="false" ht="15" hidden="false" customHeight="false" outlineLevel="0" collapsed="false">
      <c r="A408" s="18"/>
      <c r="B408" s="5"/>
      <c r="C408" s="5"/>
      <c r="D408" s="4"/>
    </row>
    <row r="409" customFormat="false" ht="15" hidden="false" customHeight="false" outlineLevel="0" collapsed="false">
      <c r="A409" s="18"/>
      <c r="B409" s="5"/>
      <c r="C409" s="5"/>
      <c r="D409" s="4"/>
    </row>
    <row r="410" customFormat="false" ht="15" hidden="false" customHeight="false" outlineLevel="0" collapsed="false">
      <c r="A410" s="18"/>
      <c r="B410" s="5"/>
      <c r="C410" s="5"/>
      <c r="D410" s="4"/>
    </row>
    <row r="411" customFormat="false" ht="15" hidden="false" customHeight="false" outlineLevel="0" collapsed="false">
      <c r="A411" s="18"/>
      <c r="B411" s="5"/>
      <c r="C411" s="5"/>
      <c r="D411" s="4"/>
    </row>
    <row r="412" customFormat="false" ht="15" hidden="false" customHeight="false" outlineLevel="0" collapsed="false">
      <c r="A412" s="18"/>
      <c r="B412" s="5"/>
      <c r="C412" s="5"/>
      <c r="D412" s="4"/>
    </row>
    <row r="413" customFormat="false" ht="15" hidden="false" customHeight="false" outlineLevel="0" collapsed="false">
      <c r="A413" s="18"/>
      <c r="B413" s="5"/>
      <c r="C413" s="5"/>
      <c r="D413" s="4"/>
    </row>
    <row r="414" customFormat="false" ht="15" hidden="false" customHeight="false" outlineLevel="0" collapsed="false">
      <c r="A414" s="18"/>
      <c r="B414" s="5"/>
      <c r="C414" s="5"/>
      <c r="D414" s="4"/>
    </row>
    <row r="415" customFormat="false" ht="15" hidden="false" customHeight="false" outlineLevel="0" collapsed="false">
      <c r="A415" s="18"/>
      <c r="B415" s="5"/>
      <c r="C415" s="5"/>
      <c r="D415" s="4"/>
    </row>
    <row r="416" customFormat="false" ht="15" hidden="false" customHeight="false" outlineLevel="0" collapsed="false">
      <c r="A416" s="18"/>
      <c r="B416" s="5"/>
      <c r="C416" s="5"/>
      <c r="D416" s="4"/>
    </row>
    <row r="417" customFormat="false" ht="15" hidden="false" customHeight="false" outlineLevel="0" collapsed="false">
      <c r="A417" s="18"/>
      <c r="B417" s="5"/>
      <c r="C417" s="5"/>
      <c r="D417" s="4"/>
    </row>
    <row r="418" customFormat="false" ht="15" hidden="false" customHeight="false" outlineLevel="0" collapsed="false">
      <c r="A418" s="18"/>
      <c r="B418" s="5"/>
      <c r="C418" s="5"/>
      <c r="D418" s="4"/>
    </row>
    <row r="419" customFormat="false" ht="15" hidden="false" customHeight="false" outlineLevel="0" collapsed="false">
      <c r="A419" s="18"/>
      <c r="B419" s="5"/>
      <c r="C419" s="5"/>
      <c r="D419" s="4"/>
    </row>
    <row r="420" customFormat="false" ht="15" hidden="false" customHeight="false" outlineLevel="0" collapsed="false">
      <c r="A420" s="18"/>
      <c r="B420" s="5"/>
      <c r="C420" s="5"/>
      <c r="D420" s="4"/>
    </row>
    <row r="421" customFormat="false" ht="15" hidden="false" customHeight="false" outlineLevel="0" collapsed="false">
      <c r="A421" s="18"/>
      <c r="B421" s="5"/>
      <c r="C421" s="5"/>
      <c r="D421" s="4"/>
    </row>
    <row r="422" customFormat="false" ht="15" hidden="false" customHeight="false" outlineLevel="0" collapsed="false">
      <c r="A422" s="18"/>
      <c r="B422" s="5"/>
      <c r="C422" s="5"/>
      <c r="D422" s="4"/>
    </row>
    <row r="423" customFormat="false" ht="15" hidden="false" customHeight="false" outlineLevel="0" collapsed="false">
      <c r="A423" s="18"/>
      <c r="B423" s="5"/>
      <c r="C423" s="5"/>
      <c r="D423" s="4"/>
    </row>
    <row r="424" customFormat="false" ht="15" hidden="false" customHeight="false" outlineLevel="0" collapsed="false">
      <c r="A424" s="18"/>
      <c r="B424" s="5"/>
      <c r="C424" s="5"/>
      <c r="D424" s="4"/>
    </row>
    <row r="425" customFormat="false" ht="15" hidden="false" customHeight="false" outlineLevel="0" collapsed="false">
      <c r="A425" s="18"/>
      <c r="B425" s="5"/>
      <c r="C425" s="5"/>
      <c r="D425" s="4"/>
    </row>
    <row r="426" customFormat="false" ht="15" hidden="false" customHeight="false" outlineLevel="0" collapsed="false">
      <c r="A426" s="18"/>
      <c r="B426" s="5"/>
      <c r="C426" s="5"/>
      <c r="D426" s="4"/>
    </row>
    <row r="427" customFormat="false" ht="15" hidden="false" customHeight="false" outlineLevel="0" collapsed="false">
      <c r="A427" s="18"/>
      <c r="B427" s="5"/>
      <c r="C427" s="5"/>
      <c r="D427" s="4"/>
    </row>
    <row r="428" customFormat="false" ht="15" hidden="false" customHeight="false" outlineLevel="0" collapsed="false">
      <c r="A428" s="18"/>
      <c r="B428" s="5"/>
      <c r="C428" s="5"/>
      <c r="D428" s="4"/>
    </row>
    <row r="429" customFormat="false" ht="15" hidden="false" customHeight="false" outlineLevel="0" collapsed="false">
      <c r="A429" s="18"/>
      <c r="B429" s="5"/>
      <c r="C429" s="5"/>
      <c r="D429" s="4"/>
    </row>
    <row r="430" customFormat="false" ht="15" hidden="false" customHeight="false" outlineLevel="0" collapsed="false">
      <c r="A430" s="18"/>
      <c r="B430" s="5"/>
      <c r="C430" s="5"/>
      <c r="D430" s="4"/>
    </row>
    <row r="431" customFormat="false" ht="15" hidden="false" customHeight="false" outlineLevel="0" collapsed="false">
      <c r="A431" s="18"/>
      <c r="B431" s="5"/>
      <c r="C431" s="5"/>
      <c r="D431" s="4"/>
    </row>
    <row r="432" customFormat="false" ht="15" hidden="false" customHeight="false" outlineLevel="0" collapsed="false">
      <c r="A432" s="18"/>
      <c r="B432" s="5"/>
      <c r="C432" s="5"/>
      <c r="D432" s="4"/>
    </row>
    <row r="433" customFormat="false" ht="15" hidden="false" customHeight="false" outlineLevel="0" collapsed="false">
      <c r="A433" s="18"/>
      <c r="B433" s="5"/>
      <c r="C433" s="5"/>
      <c r="D433" s="4"/>
    </row>
    <row r="434" customFormat="false" ht="15" hidden="false" customHeight="false" outlineLevel="0" collapsed="false">
      <c r="A434" s="18"/>
      <c r="B434" s="5"/>
      <c r="C434" s="5"/>
      <c r="D434" s="4"/>
    </row>
    <row r="435" customFormat="false" ht="15" hidden="false" customHeight="false" outlineLevel="0" collapsed="false">
      <c r="A435" s="18"/>
      <c r="B435" s="5"/>
      <c r="C435" s="5"/>
      <c r="D435" s="4"/>
    </row>
    <row r="436" customFormat="false" ht="15" hidden="false" customHeight="false" outlineLevel="0" collapsed="false">
      <c r="A436" s="18"/>
      <c r="B436" s="5"/>
      <c r="C436" s="5"/>
      <c r="D436" s="4"/>
    </row>
    <row r="437" customFormat="false" ht="15" hidden="false" customHeight="false" outlineLevel="0" collapsed="false">
      <c r="A437" s="18"/>
      <c r="B437" s="5"/>
      <c r="C437" s="5"/>
      <c r="D437" s="4"/>
    </row>
    <row r="438" customFormat="false" ht="15" hidden="false" customHeight="false" outlineLevel="0" collapsed="false">
      <c r="A438" s="18"/>
      <c r="B438" s="5"/>
      <c r="C438" s="5"/>
      <c r="D438" s="4"/>
    </row>
    <row r="439" customFormat="false" ht="15" hidden="false" customHeight="false" outlineLevel="0" collapsed="false">
      <c r="A439" s="18"/>
      <c r="B439" s="5"/>
      <c r="C439" s="5"/>
      <c r="D439" s="4"/>
    </row>
    <row r="440" customFormat="false" ht="15" hidden="false" customHeight="false" outlineLevel="0" collapsed="false">
      <c r="A440" s="18"/>
      <c r="B440" s="5"/>
      <c r="C440" s="5"/>
      <c r="D440" s="4"/>
    </row>
    <row r="441" customFormat="false" ht="15" hidden="false" customHeight="false" outlineLevel="0" collapsed="false">
      <c r="A441" s="18"/>
      <c r="B441" s="5"/>
      <c r="C441" s="5"/>
      <c r="D441" s="4"/>
    </row>
    <row r="442" customFormat="false" ht="15" hidden="false" customHeight="false" outlineLevel="0" collapsed="false">
      <c r="A442" s="18"/>
      <c r="B442" s="5"/>
      <c r="C442" s="5"/>
      <c r="D442" s="4"/>
    </row>
    <row r="443" customFormat="false" ht="15" hidden="false" customHeight="false" outlineLevel="0" collapsed="false">
      <c r="A443" s="18"/>
      <c r="B443" s="5"/>
      <c r="C443" s="5"/>
      <c r="D443" s="4"/>
    </row>
    <row r="444" customFormat="false" ht="15" hidden="false" customHeight="false" outlineLevel="0" collapsed="false">
      <c r="A444" s="18"/>
      <c r="B444" s="5"/>
      <c r="C444" s="5"/>
      <c r="D444" s="4"/>
    </row>
    <row r="445" customFormat="false" ht="15" hidden="false" customHeight="false" outlineLevel="0" collapsed="false">
      <c r="A445" s="18"/>
      <c r="B445" s="5"/>
      <c r="C445" s="5"/>
      <c r="D445" s="4"/>
    </row>
    <row r="446" customFormat="false" ht="15" hidden="false" customHeight="false" outlineLevel="0" collapsed="false">
      <c r="A446" s="18"/>
      <c r="B446" s="5"/>
      <c r="C446" s="5"/>
      <c r="D446" s="4"/>
    </row>
    <row r="447" customFormat="false" ht="15" hidden="false" customHeight="false" outlineLevel="0" collapsed="false">
      <c r="A447" s="18"/>
      <c r="B447" s="5"/>
      <c r="C447" s="5"/>
      <c r="D447" s="4"/>
    </row>
    <row r="448" customFormat="false" ht="15" hidden="false" customHeight="false" outlineLevel="0" collapsed="false">
      <c r="A448" s="18"/>
      <c r="B448" s="5"/>
      <c r="C448" s="5"/>
      <c r="D448" s="4"/>
    </row>
    <row r="449" customFormat="false" ht="15" hidden="false" customHeight="false" outlineLevel="0" collapsed="false">
      <c r="A449" s="18"/>
      <c r="B449" s="5"/>
      <c r="C449" s="5"/>
      <c r="D449" s="4"/>
    </row>
    <row r="450" customFormat="false" ht="15" hidden="false" customHeight="false" outlineLevel="0" collapsed="false">
      <c r="A450" s="18"/>
      <c r="B450" s="5"/>
      <c r="C450" s="5"/>
      <c r="D450" s="4"/>
    </row>
    <row r="451" customFormat="false" ht="15" hidden="false" customHeight="false" outlineLevel="0" collapsed="false">
      <c r="A451" s="18"/>
      <c r="B451" s="5"/>
      <c r="C451" s="5"/>
      <c r="D451" s="4"/>
    </row>
    <row r="452" customFormat="false" ht="15" hidden="false" customHeight="false" outlineLevel="0" collapsed="false">
      <c r="A452" s="18"/>
      <c r="B452" s="5"/>
      <c r="C452" s="5"/>
      <c r="D452" s="4"/>
    </row>
    <row r="453" customFormat="false" ht="15" hidden="false" customHeight="false" outlineLevel="0" collapsed="false">
      <c r="A453" s="18"/>
      <c r="B453" s="5"/>
      <c r="C453" s="5"/>
      <c r="D453" s="4"/>
    </row>
    <row r="454" customFormat="false" ht="15" hidden="false" customHeight="false" outlineLevel="0" collapsed="false">
      <c r="A454" s="18"/>
      <c r="B454" s="5"/>
      <c r="C454" s="5"/>
      <c r="D454" s="4"/>
    </row>
    <row r="455" customFormat="false" ht="15" hidden="false" customHeight="false" outlineLevel="0" collapsed="false">
      <c r="A455" s="18"/>
      <c r="B455" s="5"/>
      <c r="C455" s="5"/>
      <c r="D455" s="4"/>
    </row>
    <row r="456" customFormat="false" ht="15" hidden="false" customHeight="false" outlineLevel="0" collapsed="false">
      <c r="A456" s="18"/>
      <c r="B456" s="5"/>
      <c r="C456" s="5"/>
      <c r="D456" s="4"/>
    </row>
    <row r="457" customFormat="false" ht="15" hidden="false" customHeight="false" outlineLevel="0" collapsed="false">
      <c r="A457" s="18"/>
      <c r="B457" s="5"/>
      <c r="C457" s="5"/>
      <c r="D457" s="4"/>
    </row>
    <row r="458" customFormat="false" ht="15" hidden="false" customHeight="false" outlineLevel="0" collapsed="false">
      <c r="A458" s="18"/>
      <c r="B458" s="5"/>
      <c r="C458" s="5"/>
      <c r="D458" s="4"/>
    </row>
    <row r="459" customFormat="false" ht="15" hidden="false" customHeight="false" outlineLevel="0" collapsed="false">
      <c r="A459" s="18"/>
      <c r="B459" s="5"/>
      <c r="C459" s="5"/>
      <c r="D459" s="4"/>
    </row>
    <row r="460" customFormat="false" ht="15" hidden="false" customHeight="false" outlineLevel="0" collapsed="false">
      <c r="A460" s="18"/>
      <c r="B460" s="5"/>
      <c r="C460" s="5"/>
      <c r="D460" s="4"/>
    </row>
    <row r="461" customFormat="false" ht="15" hidden="false" customHeight="false" outlineLevel="0" collapsed="false">
      <c r="A461" s="18"/>
      <c r="B461" s="5"/>
      <c r="C461" s="5"/>
      <c r="D461" s="4"/>
    </row>
    <row r="462" customFormat="false" ht="15" hidden="false" customHeight="false" outlineLevel="0" collapsed="false">
      <c r="A462" s="18"/>
      <c r="B462" s="5"/>
      <c r="C462" s="5"/>
      <c r="D462" s="4"/>
    </row>
    <row r="463" customFormat="false" ht="15" hidden="false" customHeight="false" outlineLevel="0" collapsed="false">
      <c r="A463" s="18"/>
      <c r="B463" s="5"/>
      <c r="C463" s="5"/>
      <c r="D463" s="4"/>
    </row>
    <row r="464" customFormat="false" ht="15" hidden="false" customHeight="false" outlineLevel="0" collapsed="false">
      <c r="A464" s="18"/>
      <c r="B464" s="5"/>
      <c r="C464" s="5"/>
      <c r="D464" s="4"/>
    </row>
    <row r="465" customFormat="false" ht="15" hidden="false" customHeight="false" outlineLevel="0" collapsed="false">
      <c r="A465" s="18"/>
      <c r="B465" s="5"/>
      <c r="C465" s="5"/>
      <c r="D465" s="4"/>
    </row>
    <row r="466" customFormat="false" ht="15" hidden="false" customHeight="false" outlineLevel="0" collapsed="false">
      <c r="A466" s="18"/>
      <c r="B466" s="5"/>
      <c r="C466" s="5"/>
      <c r="D466" s="4"/>
    </row>
    <row r="467" customFormat="false" ht="15" hidden="false" customHeight="false" outlineLevel="0" collapsed="false">
      <c r="A467" s="18"/>
      <c r="B467" s="5"/>
      <c r="C467" s="5"/>
      <c r="D467" s="4"/>
    </row>
    <row r="468" customFormat="false" ht="15" hidden="false" customHeight="false" outlineLevel="0" collapsed="false">
      <c r="A468" s="18"/>
      <c r="B468" s="5"/>
      <c r="C468" s="5"/>
      <c r="D468" s="4"/>
    </row>
    <row r="469" customFormat="false" ht="15" hidden="false" customHeight="false" outlineLevel="0" collapsed="false">
      <c r="A469" s="18"/>
      <c r="B469" s="5"/>
      <c r="C469" s="5"/>
      <c r="D469" s="4"/>
    </row>
    <row r="470" customFormat="false" ht="15" hidden="false" customHeight="false" outlineLevel="0" collapsed="false">
      <c r="A470" s="18"/>
      <c r="B470" s="5"/>
      <c r="C470" s="5"/>
      <c r="D470" s="4"/>
    </row>
    <row r="471" customFormat="false" ht="15" hidden="false" customHeight="false" outlineLevel="0" collapsed="false">
      <c r="A471" s="18"/>
      <c r="B471" s="5"/>
      <c r="C471" s="5"/>
      <c r="D471" s="4"/>
    </row>
    <row r="472" customFormat="false" ht="15" hidden="false" customHeight="false" outlineLevel="0" collapsed="false">
      <c r="A472" s="18"/>
      <c r="B472" s="5"/>
      <c r="C472" s="5"/>
      <c r="D472" s="4"/>
    </row>
    <row r="473" customFormat="false" ht="15" hidden="false" customHeight="false" outlineLevel="0" collapsed="false">
      <c r="A473" s="18"/>
      <c r="B473" s="5"/>
      <c r="C473" s="5"/>
      <c r="D473" s="4"/>
    </row>
    <row r="474" customFormat="false" ht="15" hidden="false" customHeight="false" outlineLevel="0" collapsed="false">
      <c r="A474" s="18"/>
      <c r="B474" s="5"/>
      <c r="C474" s="5"/>
      <c r="D474" s="4"/>
    </row>
    <row r="475" customFormat="false" ht="15" hidden="false" customHeight="false" outlineLevel="0" collapsed="false">
      <c r="A475" s="18"/>
      <c r="B475" s="5"/>
      <c r="C475" s="5"/>
      <c r="D475" s="4"/>
    </row>
    <row r="476" customFormat="false" ht="15" hidden="false" customHeight="false" outlineLevel="0" collapsed="false">
      <c r="A476" s="18"/>
      <c r="B476" s="5"/>
      <c r="C476" s="5"/>
      <c r="D476" s="4"/>
    </row>
    <row r="477" customFormat="false" ht="15" hidden="false" customHeight="false" outlineLevel="0" collapsed="false">
      <c r="A477" s="18"/>
      <c r="B477" s="5"/>
      <c r="C477" s="5"/>
      <c r="D477" s="4"/>
    </row>
    <row r="478" customFormat="false" ht="15" hidden="false" customHeight="false" outlineLevel="0" collapsed="false">
      <c r="A478" s="18"/>
      <c r="B478" s="5"/>
      <c r="C478" s="5"/>
      <c r="D478" s="4"/>
    </row>
    <row r="479" customFormat="false" ht="15" hidden="false" customHeight="false" outlineLevel="0" collapsed="false">
      <c r="A479" s="18"/>
      <c r="B479" s="5"/>
      <c r="C479" s="5"/>
      <c r="D479" s="4"/>
    </row>
    <row r="480" customFormat="false" ht="15" hidden="false" customHeight="false" outlineLevel="0" collapsed="false">
      <c r="A480" s="18"/>
      <c r="B480" s="5"/>
      <c r="C480" s="5"/>
      <c r="D480" s="4"/>
    </row>
    <row r="481" customFormat="false" ht="15" hidden="false" customHeight="false" outlineLevel="0" collapsed="false">
      <c r="A481" s="18"/>
      <c r="B481" s="5"/>
      <c r="C481" s="5"/>
      <c r="D481" s="4"/>
    </row>
    <row r="482" customFormat="false" ht="15" hidden="false" customHeight="false" outlineLevel="0" collapsed="false">
      <c r="A482" s="18"/>
      <c r="B482" s="5"/>
      <c r="C482" s="5"/>
      <c r="D482" s="4"/>
    </row>
    <row r="483" customFormat="false" ht="15" hidden="false" customHeight="false" outlineLevel="0" collapsed="false">
      <c r="A483" s="18"/>
      <c r="B483" s="5"/>
      <c r="C483" s="5"/>
      <c r="D483" s="4"/>
    </row>
    <row r="484" customFormat="false" ht="15" hidden="false" customHeight="false" outlineLevel="0" collapsed="false">
      <c r="A484" s="18"/>
      <c r="B484" s="5"/>
      <c r="C484" s="5"/>
      <c r="D484" s="4"/>
    </row>
    <row r="485" customFormat="false" ht="15" hidden="false" customHeight="false" outlineLevel="0" collapsed="false">
      <c r="A485" s="18"/>
      <c r="B485" s="5"/>
      <c r="C485" s="5"/>
      <c r="D485" s="4"/>
    </row>
    <row r="486" customFormat="false" ht="15" hidden="false" customHeight="false" outlineLevel="0" collapsed="false">
      <c r="A486" s="18"/>
      <c r="B486" s="5"/>
      <c r="C486" s="5"/>
      <c r="D486" s="4"/>
    </row>
    <row r="487" customFormat="false" ht="15" hidden="false" customHeight="false" outlineLevel="0" collapsed="false">
      <c r="A487" s="18"/>
      <c r="B487" s="5"/>
      <c r="C487" s="5"/>
      <c r="D487" s="4"/>
    </row>
    <row r="488" customFormat="false" ht="15" hidden="false" customHeight="false" outlineLevel="0" collapsed="false">
      <c r="A488" s="18"/>
      <c r="B488" s="5"/>
      <c r="C488" s="5"/>
      <c r="D488" s="4"/>
    </row>
    <row r="489" customFormat="false" ht="15" hidden="false" customHeight="false" outlineLevel="0" collapsed="false">
      <c r="A489" s="18"/>
      <c r="B489" s="5"/>
      <c r="C489" s="5"/>
      <c r="D489" s="4"/>
    </row>
    <row r="490" customFormat="false" ht="15" hidden="false" customHeight="false" outlineLevel="0" collapsed="false">
      <c r="A490" s="18"/>
      <c r="B490" s="5"/>
      <c r="C490" s="5"/>
      <c r="D490" s="4"/>
    </row>
    <row r="491" customFormat="false" ht="15" hidden="false" customHeight="false" outlineLevel="0" collapsed="false">
      <c r="A491" s="18"/>
      <c r="B491" s="5"/>
      <c r="C491" s="5"/>
      <c r="D491" s="4"/>
    </row>
    <row r="492" customFormat="false" ht="15" hidden="false" customHeight="false" outlineLevel="0" collapsed="false">
      <c r="A492" s="18"/>
      <c r="B492" s="5"/>
      <c r="C492" s="5"/>
      <c r="D492" s="4"/>
    </row>
    <row r="493" customFormat="false" ht="15" hidden="false" customHeight="false" outlineLevel="0" collapsed="false">
      <c r="A493" s="18"/>
      <c r="B493" s="5"/>
      <c r="C493" s="5"/>
      <c r="D493" s="4"/>
    </row>
    <row r="494" customFormat="false" ht="15" hidden="false" customHeight="false" outlineLevel="0" collapsed="false">
      <c r="A494" s="18"/>
      <c r="B494" s="5"/>
      <c r="C494" s="5"/>
      <c r="D494" s="4"/>
    </row>
    <row r="495" customFormat="false" ht="15" hidden="false" customHeight="false" outlineLevel="0" collapsed="false">
      <c r="A495" s="18"/>
      <c r="B495" s="5"/>
      <c r="C495" s="5"/>
      <c r="D495" s="4"/>
    </row>
    <row r="496" customFormat="false" ht="15" hidden="false" customHeight="false" outlineLevel="0" collapsed="false">
      <c r="A496" s="18"/>
      <c r="B496" s="5"/>
      <c r="C496" s="5"/>
      <c r="D496" s="4"/>
    </row>
    <row r="497" customFormat="false" ht="15" hidden="false" customHeight="false" outlineLevel="0" collapsed="false">
      <c r="A497" s="18"/>
      <c r="B497" s="5"/>
      <c r="C497" s="5"/>
      <c r="D497" s="4"/>
    </row>
    <row r="498" customFormat="false" ht="15" hidden="false" customHeight="false" outlineLevel="0" collapsed="false">
      <c r="A498" s="18"/>
      <c r="B498" s="5"/>
      <c r="C498" s="5"/>
      <c r="D498" s="4"/>
    </row>
    <row r="499" customFormat="false" ht="15" hidden="false" customHeight="false" outlineLevel="0" collapsed="false">
      <c r="A499" s="18"/>
      <c r="B499" s="5"/>
      <c r="C499" s="5"/>
      <c r="D499" s="4"/>
    </row>
    <row r="500" customFormat="false" ht="15" hidden="false" customHeight="false" outlineLevel="0" collapsed="false">
      <c r="A500" s="18"/>
      <c r="B500" s="5"/>
      <c r="C500" s="5"/>
      <c r="D500" s="4"/>
    </row>
    <row r="501" customFormat="false" ht="15" hidden="false" customHeight="false" outlineLevel="0" collapsed="false">
      <c r="A501" s="18"/>
      <c r="B501" s="5"/>
      <c r="C501" s="5"/>
      <c r="D501" s="4"/>
    </row>
    <row r="502" customFormat="false" ht="15" hidden="false" customHeight="false" outlineLevel="0" collapsed="false">
      <c r="A502" s="18"/>
      <c r="B502" s="5"/>
      <c r="C502" s="5"/>
      <c r="D502" s="4"/>
    </row>
    <row r="503" customFormat="false" ht="15" hidden="false" customHeight="false" outlineLevel="0" collapsed="false">
      <c r="A503" s="18"/>
      <c r="B503" s="5"/>
      <c r="C503" s="5"/>
      <c r="D503" s="4"/>
    </row>
    <row r="504" customFormat="false" ht="15" hidden="false" customHeight="false" outlineLevel="0" collapsed="false">
      <c r="A504" s="18"/>
      <c r="B504" s="5"/>
      <c r="C504" s="5"/>
      <c r="D504" s="4"/>
    </row>
  </sheetData>
  <dataValidations count="2">
    <dataValidation allowBlank="true" errorStyle="stop" operator="between" showDropDown="false" showErrorMessage="false" showInputMessage="false" sqref="B5:B504" type="list">
      <formula1>Qarzdorlar!$A$7:$A$106</formula1>
      <formula2>0</formula2>
    </dataValidation>
    <dataValidation allowBlank="true" error="Summa musbat bo'lishi kerak" errorStyle="stop" operator="greaterThanOrEqual" showDropDown="false" showErrorMessage="false" showInputMessage="false" sqref="D5:D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31.5" hidden="false" customHeight="true" outlineLevel="0" collapsed="false">
      <c r="A4" s="17" t="s">
        <v>62</v>
      </c>
      <c r="B4" s="17" t="s">
        <v>67</v>
      </c>
      <c r="C4" s="17" t="s">
        <v>68</v>
      </c>
      <c r="D4" s="17" t="s">
        <v>69</v>
      </c>
    </row>
    <row r="5" customFormat="false" ht="15" hidden="false" customHeight="false" outlineLevel="0" collapsed="false">
      <c r="A5" s="10" t="s">
        <v>48</v>
      </c>
      <c r="B5" s="16" t="n">
        <f aca="false">SUM(B7:B106)</f>
        <v>1200</v>
      </c>
      <c r="C5" s="16" t="n">
        <f aca="false">SUM(C7:C106)</f>
        <v>500</v>
      </c>
      <c r="D5" s="16" t="n">
        <f aca="false">SUM(D7:D106)</f>
        <v>700</v>
      </c>
    </row>
    <row r="6" customFormat="false" ht="15" hidden="false" customHeight="false" outlineLevel="0" collapsed="false">
      <c r="A6" s="2" t="s">
        <v>70</v>
      </c>
    </row>
    <row r="7" customFormat="false" ht="15" hidden="false" customHeight="false" outlineLevel="0" collapsed="false">
      <c r="A7" s="5" t="s">
        <v>58</v>
      </c>
      <c r="B7" s="15" t="n">
        <f aca="false">IF($A7="","",SUMIFS(Sotuvlar!$D$5:$D$504,Sotuvlar!$B$5:$B$504,$A7))</f>
        <v>1200</v>
      </c>
      <c r="C7" s="15" t="n">
        <f aca="false">IF($A7="","",SUMIFS('Kassa kitobi'!$D$5:$D$504,'Kassa kitobi'!$G$5:$G$504,$A7))</f>
        <v>500</v>
      </c>
      <c r="D7" s="19" t="n">
        <f aca="false">IF($A7="","",B7-C7)</f>
        <v>700</v>
      </c>
    </row>
    <row r="8" customFormat="false" ht="15" hidden="false" customHeight="false" outlineLevel="0" collapsed="false">
      <c r="A8" s="5"/>
      <c r="B8" s="15" t="str">
        <f aca="false">IF($A8="","",SUMIFS(Sotuvlar!$D$5:$D$504,Sotuvlar!$B$5:$B$504,$A8))</f>
        <v/>
      </c>
      <c r="C8" s="15" t="str">
        <f aca="false">IF($A8="","",SUMIFS('Kassa kitobi'!$D$5:$D$504,'Kassa kitobi'!$G$5:$G$504,$A8))</f>
        <v/>
      </c>
      <c r="D8" s="19" t="str">
        <f aca="false">IF($A8="","",B8-C8)</f>
        <v/>
      </c>
    </row>
    <row r="9" customFormat="false" ht="15" hidden="false" customHeight="false" outlineLevel="0" collapsed="false">
      <c r="A9" s="5"/>
      <c r="B9" s="15" t="str">
        <f aca="false">IF($A9="","",SUMIFS(Sotuvlar!$D$5:$D$504,Sotuvlar!$B$5:$B$504,$A9))</f>
        <v/>
      </c>
      <c r="C9" s="15" t="str">
        <f aca="false">IF($A9="","",SUMIFS('Kassa kitobi'!$D$5:$D$504,'Kassa kitobi'!$G$5:$G$504,$A9))</f>
        <v/>
      </c>
      <c r="D9" s="19" t="str">
        <f aca="false">IF($A9="","",B9-C9)</f>
        <v/>
      </c>
    </row>
    <row r="10" customFormat="false" ht="15" hidden="false" customHeight="false" outlineLevel="0" collapsed="false">
      <c r="A10" s="5"/>
      <c r="B10" s="15" t="str">
        <f aca="false">IF($A10="","",SUMIFS(Sotuvlar!$D$5:$D$504,Sotuvlar!$B$5:$B$504,$A10))</f>
        <v/>
      </c>
      <c r="C10" s="15" t="str">
        <f aca="false">IF($A10="","",SUMIFS('Kassa kitobi'!$D$5:$D$504,'Kassa kitobi'!$G$5:$G$504,$A10))</f>
        <v/>
      </c>
      <c r="D10" s="19" t="str">
        <f aca="false">IF($A10="","",B10-C10)</f>
        <v/>
      </c>
    </row>
    <row r="11" customFormat="false" ht="15" hidden="false" customHeight="false" outlineLevel="0" collapsed="false">
      <c r="A11" s="5"/>
      <c r="B11" s="15" t="str">
        <f aca="false">IF($A11="","",SUMIFS(Sotuvlar!$D$5:$D$504,Sotuvlar!$B$5:$B$504,$A11))</f>
        <v/>
      </c>
      <c r="C11" s="15" t="str">
        <f aca="false">IF($A11="","",SUMIFS('Kassa kitobi'!$D$5:$D$504,'Kassa kitobi'!$G$5:$G$504,$A11))</f>
        <v/>
      </c>
      <c r="D11" s="19" t="str">
        <f aca="false">IF($A11="","",B11-C11)</f>
        <v/>
      </c>
    </row>
    <row r="12" customFormat="false" ht="15" hidden="false" customHeight="false" outlineLevel="0" collapsed="false">
      <c r="A12" s="5"/>
      <c r="B12" s="15" t="str">
        <f aca="false">IF($A12="","",SUMIFS(Sotuvlar!$D$5:$D$504,Sotuvlar!$B$5:$B$504,$A12))</f>
        <v/>
      </c>
      <c r="C12" s="15" t="str">
        <f aca="false">IF($A12="","",SUMIFS('Kassa kitobi'!$D$5:$D$504,'Kassa kitobi'!$G$5:$G$504,$A12))</f>
        <v/>
      </c>
      <c r="D12" s="19" t="str">
        <f aca="false">IF($A12="","",B12-C12)</f>
        <v/>
      </c>
    </row>
    <row r="13" customFormat="false" ht="15" hidden="false" customHeight="false" outlineLevel="0" collapsed="false">
      <c r="A13" s="5"/>
      <c r="B13" s="15" t="str">
        <f aca="false">IF($A13="","",SUMIFS(Sotuvlar!$D$5:$D$504,Sotuvlar!$B$5:$B$504,$A13))</f>
        <v/>
      </c>
      <c r="C13" s="15" t="str">
        <f aca="false">IF($A13="","",SUMIFS('Kassa kitobi'!$D$5:$D$504,'Kassa kitobi'!$G$5:$G$504,$A13))</f>
        <v/>
      </c>
      <c r="D13" s="19" t="str">
        <f aca="false">IF($A13="","",B13-C13)</f>
        <v/>
      </c>
    </row>
    <row r="14" customFormat="false" ht="15" hidden="false" customHeight="false" outlineLevel="0" collapsed="false">
      <c r="A14" s="5"/>
      <c r="B14" s="15" t="str">
        <f aca="false">IF($A14="","",SUMIFS(Sotuvlar!$D$5:$D$504,Sotuvlar!$B$5:$B$504,$A14))</f>
        <v/>
      </c>
      <c r="C14" s="15" t="str">
        <f aca="false">IF($A14="","",SUMIFS('Kassa kitobi'!$D$5:$D$504,'Kassa kitobi'!$G$5:$G$504,$A14))</f>
        <v/>
      </c>
      <c r="D14" s="19" t="str">
        <f aca="false">IF($A14="","",B14-C14)</f>
        <v/>
      </c>
    </row>
    <row r="15" customFormat="false" ht="15" hidden="false" customHeight="false" outlineLevel="0" collapsed="false">
      <c r="A15" s="5"/>
      <c r="B15" s="15" t="str">
        <f aca="false">IF($A15="","",SUMIFS(Sotuvlar!$D$5:$D$504,Sotuvlar!$B$5:$B$504,$A15))</f>
        <v/>
      </c>
      <c r="C15" s="15" t="str">
        <f aca="false">IF($A15="","",SUMIFS('Kassa kitobi'!$D$5:$D$504,'Kassa kitobi'!$G$5:$G$504,$A15))</f>
        <v/>
      </c>
      <c r="D15" s="19" t="str">
        <f aca="false">IF($A15="","",B15-C15)</f>
        <v/>
      </c>
    </row>
    <row r="16" customFormat="false" ht="15" hidden="false" customHeight="false" outlineLevel="0" collapsed="false">
      <c r="A16" s="5"/>
      <c r="B16" s="15" t="str">
        <f aca="false">IF($A16="","",SUMIFS(Sotuvlar!$D$5:$D$504,Sotuvlar!$B$5:$B$504,$A16))</f>
        <v/>
      </c>
      <c r="C16" s="15" t="str">
        <f aca="false">IF($A16="","",SUMIFS('Kassa kitobi'!$D$5:$D$504,'Kassa kitobi'!$G$5:$G$504,$A16))</f>
        <v/>
      </c>
      <c r="D16" s="19" t="str">
        <f aca="false">IF($A16="","",B16-C16)</f>
        <v/>
      </c>
    </row>
    <row r="17" customFormat="false" ht="15" hidden="false" customHeight="false" outlineLevel="0" collapsed="false">
      <c r="A17" s="5"/>
      <c r="B17" s="15" t="str">
        <f aca="false">IF($A17="","",SUMIFS(Sotuvlar!$D$5:$D$504,Sotuvlar!$B$5:$B$504,$A17))</f>
        <v/>
      </c>
      <c r="C17" s="15" t="str">
        <f aca="false">IF($A17="","",SUMIFS('Kassa kitobi'!$D$5:$D$504,'Kassa kitobi'!$G$5:$G$504,$A17))</f>
        <v/>
      </c>
      <c r="D17" s="19" t="str">
        <f aca="false">IF($A17="","",B17-C17)</f>
        <v/>
      </c>
    </row>
    <row r="18" customFormat="false" ht="15" hidden="false" customHeight="false" outlineLevel="0" collapsed="false">
      <c r="A18" s="5"/>
      <c r="B18" s="15" t="str">
        <f aca="false">IF($A18="","",SUMIFS(Sotuvlar!$D$5:$D$504,Sotuvlar!$B$5:$B$504,$A18))</f>
        <v/>
      </c>
      <c r="C18" s="15" t="str">
        <f aca="false">IF($A18="","",SUMIFS('Kassa kitobi'!$D$5:$D$504,'Kassa kitobi'!$G$5:$G$504,$A18))</f>
        <v/>
      </c>
      <c r="D18" s="19" t="str">
        <f aca="false">IF($A18="","",B18-C18)</f>
        <v/>
      </c>
    </row>
    <row r="19" customFormat="false" ht="15" hidden="false" customHeight="false" outlineLevel="0" collapsed="false">
      <c r="A19" s="5"/>
      <c r="B19" s="15" t="str">
        <f aca="false">IF($A19="","",SUMIFS(Sotuvlar!$D$5:$D$504,Sotuvlar!$B$5:$B$504,$A19))</f>
        <v/>
      </c>
      <c r="C19" s="15" t="str">
        <f aca="false">IF($A19="","",SUMIFS('Kassa kitobi'!$D$5:$D$504,'Kassa kitobi'!$G$5:$G$504,$A19))</f>
        <v/>
      </c>
      <c r="D19" s="19" t="str">
        <f aca="false">IF($A19="","",B19-C19)</f>
        <v/>
      </c>
    </row>
    <row r="20" customFormat="false" ht="15" hidden="false" customHeight="false" outlineLevel="0" collapsed="false">
      <c r="A20" s="5"/>
      <c r="B20" s="15" t="str">
        <f aca="false">IF($A20="","",SUMIFS(Sotuvlar!$D$5:$D$504,Sotuvlar!$B$5:$B$504,$A20))</f>
        <v/>
      </c>
      <c r="C20" s="15" t="str">
        <f aca="false">IF($A20="","",SUMIFS('Kassa kitobi'!$D$5:$D$504,'Kassa kitobi'!$G$5:$G$504,$A20))</f>
        <v/>
      </c>
      <c r="D20" s="19" t="str">
        <f aca="false">IF($A20="","",B20-C20)</f>
        <v/>
      </c>
    </row>
    <row r="21" customFormat="false" ht="15" hidden="false" customHeight="false" outlineLevel="0" collapsed="false">
      <c r="A21" s="5"/>
      <c r="B21" s="15" t="str">
        <f aca="false">IF($A21="","",SUMIFS(Sotuvlar!$D$5:$D$504,Sotuvlar!$B$5:$B$504,$A21))</f>
        <v/>
      </c>
      <c r="C21" s="15" t="str">
        <f aca="false">IF($A21="","",SUMIFS('Kassa kitobi'!$D$5:$D$504,'Kassa kitobi'!$G$5:$G$504,$A21))</f>
        <v/>
      </c>
      <c r="D21" s="19" t="str">
        <f aca="false">IF($A21="","",B21-C21)</f>
        <v/>
      </c>
    </row>
    <row r="22" customFormat="false" ht="15" hidden="false" customHeight="false" outlineLevel="0" collapsed="false">
      <c r="A22" s="5"/>
      <c r="B22" s="15" t="str">
        <f aca="false">IF($A22="","",SUMIFS(Sotuvlar!$D$5:$D$504,Sotuvlar!$B$5:$B$504,$A22))</f>
        <v/>
      </c>
      <c r="C22" s="15" t="str">
        <f aca="false">IF($A22="","",SUMIFS('Kassa kitobi'!$D$5:$D$504,'Kassa kitobi'!$G$5:$G$504,$A22))</f>
        <v/>
      </c>
      <c r="D22" s="19" t="str">
        <f aca="false">IF($A22="","",B22-C22)</f>
        <v/>
      </c>
    </row>
    <row r="23" customFormat="false" ht="15" hidden="false" customHeight="false" outlineLevel="0" collapsed="false">
      <c r="A23" s="5"/>
      <c r="B23" s="15" t="str">
        <f aca="false">IF($A23="","",SUMIFS(Sotuvlar!$D$5:$D$504,Sotuvlar!$B$5:$B$504,$A23))</f>
        <v/>
      </c>
      <c r="C23" s="15" t="str">
        <f aca="false">IF($A23="","",SUMIFS('Kassa kitobi'!$D$5:$D$504,'Kassa kitobi'!$G$5:$G$504,$A23))</f>
        <v/>
      </c>
      <c r="D23" s="19" t="str">
        <f aca="false">IF($A23="","",B23-C23)</f>
        <v/>
      </c>
    </row>
    <row r="24" customFormat="false" ht="15" hidden="false" customHeight="false" outlineLevel="0" collapsed="false">
      <c r="A24" s="5"/>
      <c r="B24" s="15" t="str">
        <f aca="false">IF($A24="","",SUMIFS(Sotuvlar!$D$5:$D$504,Sotuvlar!$B$5:$B$504,$A24))</f>
        <v/>
      </c>
      <c r="C24" s="15" t="str">
        <f aca="false">IF($A24="","",SUMIFS('Kassa kitobi'!$D$5:$D$504,'Kassa kitobi'!$G$5:$G$504,$A24))</f>
        <v/>
      </c>
      <c r="D24" s="19" t="str">
        <f aca="false">IF($A24="","",B24-C24)</f>
        <v/>
      </c>
    </row>
    <row r="25" customFormat="false" ht="15" hidden="false" customHeight="false" outlineLevel="0" collapsed="false">
      <c r="A25" s="5"/>
      <c r="B25" s="15" t="str">
        <f aca="false">IF($A25="","",SUMIFS(Sotuvlar!$D$5:$D$504,Sotuvlar!$B$5:$B$504,$A25))</f>
        <v/>
      </c>
      <c r="C25" s="15" t="str">
        <f aca="false">IF($A25="","",SUMIFS('Kassa kitobi'!$D$5:$D$504,'Kassa kitobi'!$G$5:$G$504,$A25))</f>
        <v/>
      </c>
      <c r="D25" s="19" t="str">
        <f aca="false">IF($A25="","",B25-C25)</f>
        <v/>
      </c>
    </row>
    <row r="26" customFormat="false" ht="15" hidden="false" customHeight="false" outlineLevel="0" collapsed="false">
      <c r="A26" s="5"/>
      <c r="B26" s="15" t="str">
        <f aca="false">IF($A26="","",SUMIFS(Sotuvlar!$D$5:$D$504,Sotuvlar!$B$5:$B$504,$A26))</f>
        <v/>
      </c>
      <c r="C26" s="15" t="str">
        <f aca="false">IF($A26="","",SUMIFS('Kassa kitobi'!$D$5:$D$504,'Kassa kitobi'!$G$5:$G$504,$A26))</f>
        <v/>
      </c>
      <c r="D26" s="19" t="str">
        <f aca="false">IF($A26="","",B26-C26)</f>
        <v/>
      </c>
    </row>
    <row r="27" customFormat="false" ht="15" hidden="false" customHeight="false" outlineLevel="0" collapsed="false">
      <c r="A27" s="5"/>
      <c r="B27" s="15" t="str">
        <f aca="false">IF($A27="","",SUMIFS(Sotuvlar!$D$5:$D$504,Sotuvlar!$B$5:$B$504,$A27))</f>
        <v/>
      </c>
      <c r="C27" s="15" t="str">
        <f aca="false">IF($A27="","",SUMIFS('Kassa kitobi'!$D$5:$D$504,'Kassa kitobi'!$G$5:$G$504,$A27))</f>
        <v/>
      </c>
      <c r="D27" s="19" t="str">
        <f aca="false">IF($A27="","",B27-C27)</f>
        <v/>
      </c>
    </row>
    <row r="28" customFormat="false" ht="15" hidden="false" customHeight="false" outlineLevel="0" collapsed="false">
      <c r="A28" s="5"/>
      <c r="B28" s="15" t="str">
        <f aca="false">IF($A28="","",SUMIFS(Sotuvlar!$D$5:$D$504,Sotuvlar!$B$5:$B$504,$A28))</f>
        <v/>
      </c>
      <c r="C28" s="15" t="str">
        <f aca="false">IF($A28="","",SUMIFS('Kassa kitobi'!$D$5:$D$504,'Kassa kitobi'!$G$5:$G$504,$A28))</f>
        <v/>
      </c>
      <c r="D28" s="19" t="str">
        <f aca="false">IF($A28="","",B28-C28)</f>
        <v/>
      </c>
    </row>
    <row r="29" customFormat="false" ht="15" hidden="false" customHeight="false" outlineLevel="0" collapsed="false">
      <c r="A29" s="5"/>
      <c r="B29" s="15" t="str">
        <f aca="false">IF($A29="","",SUMIFS(Sotuvlar!$D$5:$D$504,Sotuvlar!$B$5:$B$504,$A29))</f>
        <v/>
      </c>
      <c r="C29" s="15" t="str">
        <f aca="false">IF($A29="","",SUMIFS('Kassa kitobi'!$D$5:$D$504,'Kassa kitobi'!$G$5:$G$504,$A29))</f>
        <v/>
      </c>
      <c r="D29" s="19" t="str">
        <f aca="false">IF($A29="","",B29-C29)</f>
        <v/>
      </c>
    </row>
    <row r="30" customFormat="false" ht="15" hidden="false" customHeight="false" outlineLevel="0" collapsed="false">
      <c r="A30" s="5"/>
      <c r="B30" s="15" t="str">
        <f aca="false">IF($A30="","",SUMIFS(Sotuvlar!$D$5:$D$504,Sotuvlar!$B$5:$B$504,$A30))</f>
        <v/>
      </c>
      <c r="C30" s="15" t="str">
        <f aca="false">IF($A30="","",SUMIFS('Kassa kitobi'!$D$5:$D$504,'Kassa kitobi'!$G$5:$G$504,$A30))</f>
        <v/>
      </c>
      <c r="D30" s="19" t="str">
        <f aca="false">IF($A30="","",B30-C30)</f>
        <v/>
      </c>
    </row>
    <row r="31" customFormat="false" ht="15" hidden="false" customHeight="false" outlineLevel="0" collapsed="false">
      <c r="A31" s="5"/>
      <c r="B31" s="15" t="str">
        <f aca="false">IF($A31="","",SUMIFS(Sotuvlar!$D$5:$D$504,Sotuvlar!$B$5:$B$504,$A31))</f>
        <v/>
      </c>
      <c r="C31" s="15" t="str">
        <f aca="false">IF($A31="","",SUMIFS('Kassa kitobi'!$D$5:$D$504,'Kassa kitobi'!$G$5:$G$504,$A31))</f>
        <v/>
      </c>
      <c r="D31" s="19" t="str">
        <f aca="false">IF($A31="","",B31-C31)</f>
        <v/>
      </c>
    </row>
    <row r="32" customFormat="false" ht="15" hidden="false" customHeight="false" outlineLevel="0" collapsed="false">
      <c r="A32" s="5"/>
      <c r="B32" s="15" t="str">
        <f aca="false">IF($A32="","",SUMIFS(Sotuvlar!$D$5:$D$504,Sotuvlar!$B$5:$B$504,$A32))</f>
        <v/>
      </c>
      <c r="C32" s="15" t="str">
        <f aca="false">IF($A32="","",SUMIFS('Kassa kitobi'!$D$5:$D$504,'Kassa kitobi'!$G$5:$G$504,$A32))</f>
        <v/>
      </c>
      <c r="D32" s="19" t="str">
        <f aca="false">IF($A32="","",B32-C32)</f>
        <v/>
      </c>
    </row>
    <row r="33" customFormat="false" ht="15" hidden="false" customHeight="false" outlineLevel="0" collapsed="false">
      <c r="A33" s="5"/>
      <c r="B33" s="15" t="str">
        <f aca="false">IF($A33="","",SUMIFS(Sotuvlar!$D$5:$D$504,Sotuvlar!$B$5:$B$504,$A33))</f>
        <v/>
      </c>
      <c r="C33" s="15" t="str">
        <f aca="false">IF($A33="","",SUMIFS('Kassa kitobi'!$D$5:$D$504,'Kassa kitobi'!$G$5:$G$504,$A33))</f>
        <v/>
      </c>
      <c r="D33" s="19" t="str">
        <f aca="false">IF($A33="","",B33-C33)</f>
        <v/>
      </c>
    </row>
    <row r="34" customFormat="false" ht="15" hidden="false" customHeight="false" outlineLevel="0" collapsed="false">
      <c r="A34" s="5"/>
      <c r="B34" s="15" t="str">
        <f aca="false">IF($A34="","",SUMIFS(Sotuvlar!$D$5:$D$504,Sotuvlar!$B$5:$B$504,$A34))</f>
        <v/>
      </c>
      <c r="C34" s="15" t="str">
        <f aca="false">IF($A34="","",SUMIFS('Kassa kitobi'!$D$5:$D$504,'Kassa kitobi'!$G$5:$G$504,$A34))</f>
        <v/>
      </c>
      <c r="D34" s="19" t="str">
        <f aca="false">IF($A34="","",B34-C34)</f>
        <v/>
      </c>
    </row>
    <row r="35" customFormat="false" ht="15" hidden="false" customHeight="false" outlineLevel="0" collapsed="false">
      <c r="A35" s="5"/>
      <c r="B35" s="15" t="str">
        <f aca="false">IF($A35="","",SUMIFS(Sotuvlar!$D$5:$D$504,Sotuvlar!$B$5:$B$504,$A35))</f>
        <v/>
      </c>
      <c r="C35" s="15" t="str">
        <f aca="false">IF($A35="","",SUMIFS('Kassa kitobi'!$D$5:$D$504,'Kassa kitobi'!$G$5:$G$504,$A35))</f>
        <v/>
      </c>
      <c r="D35" s="19" t="str">
        <f aca="false">IF($A35="","",B35-C35)</f>
        <v/>
      </c>
    </row>
    <row r="36" customFormat="false" ht="15" hidden="false" customHeight="false" outlineLevel="0" collapsed="false">
      <c r="A36" s="5"/>
      <c r="B36" s="15" t="str">
        <f aca="false">IF($A36="","",SUMIFS(Sotuvlar!$D$5:$D$504,Sotuvlar!$B$5:$B$504,$A36))</f>
        <v/>
      </c>
      <c r="C36" s="15" t="str">
        <f aca="false">IF($A36="","",SUMIFS('Kassa kitobi'!$D$5:$D$504,'Kassa kitobi'!$G$5:$G$504,$A36))</f>
        <v/>
      </c>
      <c r="D36" s="19" t="str">
        <f aca="false">IF($A36="","",B36-C36)</f>
        <v/>
      </c>
    </row>
    <row r="37" customFormat="false" ht="15" hidden="false" customHeight="false" outlineLevel="0" collapsed="false">
      <c r="A37" s="5"/>
      <c r="B37" s="15" t="str">
        <f aca="false">IF($A37="","",SUMIFS(Sotuvlar!$D$5:$D$504,Sotuvlar!$B$5:$B$504,$A37))</f>
        <v/>
      </c>
      <c r="C37" s="15" t="str">
        <f aca="false">IF($A37="","",SUMIFS('Kassa kitobi'!$D$5:$D$504,'Kassa kitobi'!$G$5:$G$504,$A37))</f>
        <v/>
      </c>
      <c r="D37" s="19" t="str">
        <f aca="false">IF($A37="","",B37-C37)</f>
        <v/>
      </c>
    </row>
    <row r="38" customFormat="false" ht="15" hidden="false" customHeight="false" outlineLevel="0" collapsed="false">
      <c r="A38" s="5"/>
      <c r="B38" s="15" t="str">
        <f aca="false">IF($A38="","",SUMIFS(Sotuvlar!$D$5:$D$504,Sotuvlar!$B$5:$B$504,$A38))</f>
        <v/>
      </c>
      <c r="C38" s="15" t="str">
        <f aca="false">IF($A38="","",SUMIFS('Kassa kitobi'!$D$5:$D$504,'Kassa kitobi'!$G$5:$G$504,$A38))</f>
        <v/>
      </c>
      <c r="D38" s="19" t="str">
        <f aca="false">IF($A38="","",B38-C38)</f>
        <v/>
      </c>
    </row>
    <row r="39" customFormat="false" ht="15" hidden="false" customHeight="false" outlineLevel="0" collapsed="false">
      <c r="A39" s="5"/>
      <c r="B39" s="15" t="str">
        <f aca="false">IF($A39="","",SUMIFS(Sotuvlar!$D$5:$D$504,Sotuvlar!$B$5:$B$504,$A39))</f>
        <v/>
      </c>
      <c r="C39" s="15" t="str">
        <f aca="false">IF($A39="","",SUMIFS('Kassa kitobi'!$D$5:$D$504,'Kassa kitobi'!$G$5:$G$504,$A39))</f>
        <v/>
      </c>
      <c r="D39" s="19" t="str">
        <f aca="false">IF($A39="","",B39-C39)</f>
        <v/>
      </c>
    </row>
    <row r="40" customFormat="false" ht="15" hidden="false" customHeight="false" outlineLevel="0" collapsed="false">
      <c r="A40" s="5"/>
      <c r="B40" s="15" t="str">
        <f aca="false">IF($A40="","",SUMIFS(Sotuvlar!$D$5:$D$504,Sotuvlar!$B$5:$B$504,$A40))</f>
        <v/>
      </c>
      <c r="C40" s="15" t="str">
        <f aca="false">IF($A40="","",SUMIFS('Kassa kitobi'!$D$5:$D$504,'Kassa kitobi'!$G$5:$G$504,$A40))</f>
        <v/>
      </c>
      <c r="D40" s="19" t="str">
        <f aca="false">IF($A40="","",B40-C40)</f>
        <v/>
      </c>
    </row>
    <row r="41" customFormat="false" ht="15" hidden="false" customHeight="false" outlineLevel="0" collapsed="false">
      <c r="A41" s="5"/>
      <c r="B41" s="15" t="str">
        <f aca="false">IF($A41="","",SUMIFS(Sotuvlar!$D$5:$D$504,Sotuvlar!$B$5:$B$504,$A41))</f>
        <v/>
      </c>
      <c r="C41" s="15" t="str">
        <f aca="false">IF($A41="","",SUMIFS('Kassa kitobi'!$D$5:$D$504,'Kassa kitobi'!$G$5:$G$504,$A41))</f>
        <v/>
      </c>
      <c r="D41" s="19" t="str">
        <f aca="false">IF($A41="","",B41-C41)</f>
        <v/>
      </c>
    </row>
    <row r="42" customFormat="false" ht="15" hidden="false" customHeight="false" outlineLevel="0" collapsed="false">
      <c r="A42" s="5"/>
      <c r="B42" s="15" t="str">
        <f aca="false">IF($A42="","",SUMIFS(Sotuvlar!$D$5:$D$504,Sotuvlar!$B$5:$B$504,$A42))</f>
        <v/>
      </c>
      <c r="C42" s="15" t="str">
        <f aca="false">IF($A42="","",SUMIFS('Kassa kitobi'!$D$5:$D$504,'Kassa kitobi'!$G$5:$G$504,$A42))</f>
        <v/>
      </c>
      <c r="D42" s="19" t="str">
        <f aca="false">IF($A42="","",B42-C42)</f>
        <v/>
      </c>
    </row>
    <row r="43" customFormat="false" ht="15" hidden="false" customHeight="false" outlineLevel="0" collapsed="false">
      <c r="A43" s="5"/>
      <c r="B43" s="15" t="str">
        <f aca="false">IF($A43="","",SUMIFS(Sotuvlar!$D$5:$D$504,Sotuvlar!$B$5:$B$504,$A43))</f>
        <v/>
      </c>
      <c r="C43" s="15" t="str">
        <f aca="false">IF($A43="","",SUMIFS('Kassa kitobi'!$D$5:$D$504,'Kassa kitobi'!$G$5:$G$504,$A43))</f>
        <v/>
      </c>
      <c r="D43" s="19" t="str">
        <f aca="false">IF($A43="","",B43-C43)</f>
        <v/>
      </c>
    </row>
    <row r="44" customFormat="false" ht="15" hidden="false" customHeight="false" outlineLevel="0" collapsed="false">
      <c r="A44" s="5"/>
      <c r="B44" s="15" t="str">
        <f aca="false">IF($A44="","",SUMIFS(Sotuvlar!$D$5:$D$504,Sotuvlar!$B$5:$B$504,$A44))</f>
        <v/>
      </c>
      <c r="C44" s="15" t="str">
        <f aca="false">IF($A44="","",SUMIFS('Kassa kitobi'!$D$5:$D$504,'Kassa kitobi'!$G$5:$G$504,$A44))</f>
        <v/>
      </c>
      <c r="D44" s="19" t="str">
        <f aca="false">IF($A44="","",B44-C44)</f>
        <v/>
      </c>
    </row>
    <row r="45" customFormat="false" ht="15" hidden="false" customHeight="false" outlineLevel="0" collapsed="false">
      <c r="A45" s="5"/>
      <c r="B45" s="15" t="str">
        <f aca="false">IF($A45="","",SUMIFS(Sotuvlar!$D$5:$D$504,Sotuvlar!$B$5:$B$504,$A45))</f>
        <v/>
      </c>
      <c r="C45" s="15" t="str">
        <f aca="false">IF($A45="","",SUMIFS('Kassa kitobi'!$D$5:$D$504,'Kassa kitobi'!$G$5:$G$504,$A45))</f>
        <v/>
      </c>
      <c r="D45" s="19" t="str">
        <f aca="false">IF($A45="","",B45-C45)</f>
        <v/>
      </c>
    </row>
    <row r="46" customFormat="false" ht="15" hidden="false" customHeight="false" outlineLevel="0" collapsed="false">
      <c r="A46" s="5"/>
      <c r="B46" s="15" t="str">
        <f aca="false">IF($A46="","",SUMIFS(Sotuvlar!$D$5:$D$504,Sotuvlar!$B$5:$B$504,$A46))</f>
        <v/>
      </c>
      <c r="C46" s="15" t="str">
        <f aca="false">IF($A46="","",SUMIFS('Kassa kitobi'!$D$5:$D$504,'Kassa kitobi'!$G$5:$G$504,$A46))</f>
        <v/>
      </c>
      <c r="D46" s="19" t="str">
        <f aca="false">IF($A46="","",B46-C46)</f>
        <v/>
      </c>
    </row>
    <row r="47" customFormat="false" ht="15" hidden="false" customHeight="false" outlineLevel="0" collapsed="false">
      <c r="A47" s="5"/>
      <c r="B47" s="15" t="str">
        <f aca="false">IF($A47="","",SUMIFS(Sotuvlar!$D$5:$D$504,Sotuvlar!$B$5:$B$504,$A47))</f>
        <v/>
      </c>
      <c r="C47" s="15" t="str">
        <f aca="false">IF($A47="","",SUMIFS('Kassa kitobi'!$D$5:$D$504,'Kassa kitobi'!$G$5:$G$504,$A47))</f>
        <v/>
      </c>
      <c r="D47" s="19" t="str">
        <f aca="false">IF($A47="","",B47-C47)</f>
        <v/>
      </c>
    </row>
    <row r="48" customFormat="false" ht="15" hidden="false" customHeight="false" outlineLevel="0" collapsed="false">
      <c r="A48" s="5"/>
      <c r="B48" s="15" t="str">
        <f aca="false">IF($A48="","",SUMIFS(Sotuvlar!$D$5:$D$504,Sotuvlar!$B$5:$B$504,$A48))</f>
        <v/>
      </c>
      <c r="C48" s="15" t="str">
        <f aca="false">IF($A48="","",SUMIFS('Kassa kitobi'!$D$5:$D$504,'Kassa kitobi'!$G$5:$G$504,$A48))</f>
        <v/>
      </c>
      <c r="D48" s="19" t="str">
        <f aca="false">IF($A48="","",B48-C48)</f>
        <v/>
      </c>
    </row>
    <row r="49" customFormat="false" ht="15" hidden="false" customHeight="false" outlineLevel="0" collapsed="false">
      <c r="A49" s="5"/>
      <c r="B49" s="15" t="str">
        <f aca="false">IF($A49="","",SUMIFS(Sotuvlar!$D$5:$D$504,Sotuvlar!$B$5:$B$504,$A49))</f>
        <v/>
      </c>
      <c r="C49" s="15" t="str">
        <f aca="false">IF($A49="","",SUMIFS('Kassa kitobi'!$D$5:$D$504,'Kassa kitobi'!$G$5:$G$504,$A49))</f>
        <v/>
      </c>
      <c r="D49" s="19" t="str">
        <f aca="false">IF($A49="","",B49-C49)</f>
        <v/>
      </c>
    </row>
    <row r="50" customFormat="false" ht="15" hidden="false" customHeight="false" outlineLevel="0" collapsed="false">
      <c r="A50" s="5"/>
      <c r="B50" s="15" t="str">
        <f aca="false">IF($A50="","",SUMIFS(Sotuvlar!$D$5:$D$504,Sotuvlar!$B$5:$B$504,$A50))</f>
        <v/>
      </c>
      <c r="C50" s="15" t="str">
        <f aca="false">IF($A50="","",SUMIFS('Kassa kitobi'!$D$5:$D$504,'Kassa kitobi'!$G$5:$G$504,$A50))</f>
        <v/>
      </c>
      <c r="D50" s="19" t="str">
        <f aca="false">IF($A50="","",B50-C50)</f>
        <v/>
      </c>
    </row>
    <row r="51" customFormat="false" ht="15" hidden="false" customHeight="false" outlineLevel="0" collapsed="false">
      <c r="A51" s="5"/>
      <c r="B51" s="15" t="str">
        <f aca="false">IF($A51="","",SUMIFS(Sotuvlar!$D$5:$D$504,Sotuvlar!$B$5:$B$504,$A51))</f>
        <v/>
      </c>
      <c r="C51" s="15" t="str">
        <f aca="false">IF($A51="","",SUMIFS('Kassa kitobi'!$D$5:$D$504,'Kassa kitobi'!$G$5:$G$504,$A51))</f>
        <v/>
      </c>
      <c r="D51" s="19" t="str">
        <f aca="false">IF($A51="","",B51-C51)</f>
        <v/>
      </c>
    </row>
    <row r="52" customFormat="false" ht="15" hidden="false" customHeight="false" outlineLevel="0" collapsed="false">
      <c r="A52" s="5"/>
      <c r="B52" s="15" t="str">
        <f aca="false">IF($A52="","",SUMIFS(Sotuvlar!$D$5:$D$504,Sotuvlar!$B$5:$B$504,$A52))</f>
        <v/>
      </c>
      <c r="C52" s="15" t="str">
        <f aca="false">IF($A52="","",SUMIFS('Kassa kitobi'!$D$5:$D$504,'Kassa kitobi'!$G$5:$G$504,$A52))</f>
        <v/>
      </c>
      <c r="D52" s="19" t="str">
        <f aca="false">IF($A52="","",B52-C52)</f>
        <v/>
      </c>
    </row>
    <row r="53" customFormat="false" ht="15" hidden="false" customHeight="false" outlineLevel="0" collapsed="false">
      <c r="A53" s="5"/>
      <c r="B53" s="15" t="str">
        <f aca="false">IF($A53="","",SUMIFS(Sotuvlar!$D$5:$D$504,Sotuvlar!$B$5:$B$504,$A53))</f>
        <v/>
      </c>
      <c r="C53" s="15" t="str">
        <f aca="false">IF($A53="","",SUMIFS('Kassa kitobi'!$D$5:$D$504,'Kassa kitobi'!$G$5:$G$504,$A53))</f>
        <v/>
      </c>
      <c r="D53" s="19" t="str">
        <f aca="false">IF($A53="","",B53-C53)</f>
        <v/>
      </c>
    </row>
    <row r="54" customFormat="false" ht="15" hidden="false" customHeight="false" outlineLevel="0" collapsed="false">
      <c r="A54" s="5"/>
      <c r="B54" s="15" t="str">
        <f aca="false">IF($A54="","",SUMIFS(Sotuvlar!$D$5:$D$504,Sotuvlar!$B$5:$B$504,$A54))</f>
        <v/>
      </c>
      <c r="C54" s="15" t="str">
        <f aca="false">IF($A54="","",SUMIFS('Kassa kitobi'!$D$5:$D$504,'Kassa kitobi'!$G$5:$G$504,$A54))</f>
        <v/>
      </c>
      <c r="D54" s="19" t="str">
        <f aca="false">IF($A54="","",B54-C54)</f>
        <v/>
      </c>
    </row>
    <row r="55" customFormat="false" ht="15" hidden="false" customHeight="false" outlineLevel="0" collapsed="false">
      <c r="A55" s="5"/>
      <c r="B55" s="15" t="str">
        <f aca="false">IF($A55="","",SUMIFS(Sotuvlar!$D$5:$D$504,Sotuvlar!$B$5:$B$504,$A55))</f>
        <v/>
      </c>
      <c r="C55" s="15" t="str">
        <f aca="false">IF($A55="","",SUMIFS('Kassa kitobi'!$D$5:$D$504,'Kassa kitobi'!$G$5:$G$504,$A55))</f>
        <v/>
      </c>
      <c r="D55" s="19" t="str">
        <f aca="false">IF($A55="","",B55-C55)</f>
        <v/>
      </c>
    </row>
    <row r="56" customFormat="false" ht="15" hidden="false" customHeight="false" outlineLevel="0" collapsed="false">
      <c r="A56" s="5"/>
      <c r="B56" s="15" t="str">
        <f aca="false">IF($A56="","",SUMIFS(Sotuvlar!$D$5:$D$504,Sotuvlar!$B$5:$B$504,$A56))</f>
        <v/>
      </c>
      <c r="C56" s="15" t="str">
        <f aca="false">IF($A56="","",SUMIFS('Kassa kitobi'!$D$5:$D$504,'Kassa kitobi'!$G$5:$G$504,$A56))</f>
        <v/>
      </c>
      <c r="D56" s="19" t="str">
        <f aca="false">IF($A56="","",B56-C56)</f>
        <v/>
      </c>
    </row>
    <row r="57" customFormat="false" ht="15" hidden="false" customHeight="false" outlineLevel="0" collapsed="false">
      <c r="A57" s="5"/>
      <c r="B57" s="15" t="str">
        <f aca="false">IF($A57="","",SUMIFS(Sotuvlar!$D$5:$D$504,Sotuvlar!$B$5:$B$504,$A57))</f>
        <v/>
      </c>
      <c r="C57" s="15" t="str">
        <f aca="false">IF($A57="","",SUMIFS('Kassa kitobi'!$D$5:$D$504,'Kassa kitobi'!$G$5:$G$504,$A57))</f>
        <v/>
      </c>
      <c r="D57" s="19" t="str">
        <f aca="false">IF($A57="","",B57-C57)</f>
        <v/>
      </c>
    </row>
    <row r="58" customFormat="false" ht="15" hidden="false" customHeight="false" outlineLevel="0" collapsed="false">
      <c r="A58" s="5"/>
      <c r="B58" s="15" t="str">
        <f aca="false">IF($A58="","",SUMIFS(Sotuvlar!$D$5:$D$504,Sotuvlar!$B$5:$B$504,$A58))</f>
        <v/>
      </c>
      <c r="C58" s="15" t="str">
        <f aca="false">IF($A58="","",SUMIFS('Kassa kitobi'!$D$5:$D$504,'Kassa kitobi'!$G$5:$G$504,$A58))</f>
        <v/>
      </c>
      <c r="D58" s="19" t="str">
        <f aca="false">IF($A58="","",B58-C58)</f>
        <v/>
      </c>
    </row>
    <row r="59" customFormat="false" ht="15" hidden="false" customHeight="false" outlineLevel="0" collapsed="false">
      <c r="A59" s="5"/>
      <c r="B59" s="15" t="str">
        <f aca="false">IF($A59="","",SUMIFS(Sotuvlar!$D$5:$D$504,Sotuvlar!$B$5:$B$504,$A59))</f>
        <v/>
      </c>
      <c r="C59" s="15" t="str">
        <f aca="false">IF($A59="","",SUMIFS('Kassa kitobi'!$D$5:$D$504,'Kassa kitobi'!$G$5:$G$504,$A59))</f>
        <v/>
      </c>
      <c r="D59" s="19" t="str">
        <f aca="false">IF($A59="","",B59-C59)</f>
        <v/>
      </c>
    </row>
    <row r="60" customFormat="false" ht="15" hidden="false" customHeight="false" outlineLevel="0" collapsed="false">
      <c r="A60" s="5"/>
      <c r="B60" s="15" t="str">
        <f aca="false">IF($A60="","",SUMIFS(Sotuvlar!$D$5:$D$504,Sotuvlar!$B$5:$B$504,$A60))</f>
        <v/>
      </c>
      <c r="C60" s="15" t="str">
        <f aca="false">IF($A60="","",SUMIFS('Kassa kitobi'!$D$5:$D$504,'Kassa kitobi'!$G$5:$G$504,$A60))</f>
        <v/>
      </c>
      <c r="D60" s="19" t="str">
        <f aca="false">IF($A60="","",B60-C60)</f>
        <v/>
      </c>
    </row>
    <row r="61" customFormat="false" ht="15" hidden="false" customHeight="false" outlineLevel="0" collapsed="false">
      <c r="A61" s="5"/>
      <c r="B61" s="15" t="str">
        <f aca="false">IF($A61="","",SUMIFS(Sotuvlar!$D$5:$D$504,Sotuvlar!$B$5:$B$504,$A61))</f>
        <v/>
      </c>
      <c r="C61" s="15" t="str">
        <f aca="false">IF($A61="","",SUMIFS('Kassa kitobi'!$D$5:$D$504,'Kassa kitobi'!$G$5:$G$504,$A61))</f>
        <v/>
      </c>
      <c r="D61" s="19" t="str">
        <f aca="false">IF($A61="","",B61-C61)</f>
        <v/>
      </c>
    </row>
    <row r="62" customFormat="false" ht="15" hidden="false" customHeight="false" outlineLevel="0" collapsed="false">
      <c r="A62" s="5"/>
      <c r="B62" s="15" t="str">
        <f aca="false">IF($A62="","",SUMIFS(Sotuvlar!$D$5:$D$504,Sotuvlar!$B$5:$B$504,$A62))</f>
        <v/>
      </c>
      <c r="C62" s="15" t="str">
        <f aca="false">IF($A62="","",SUMIFS('Kassa kitobi'!$D$5:$D$504,'Kassa kitobi'!$G$5:$G$504,$A62))</f>
        <v/>
      </c>
      <c r="D62" s="19" t="str">
        <f aca="false">IF($A62="","",B62-C62)</f>
        <v/>
      </c>
    </row>
    <row r="63" customFormat="false" ht="15" hidden="false" customHeight="false" outlineLevel="0" collapsed="false">
      <c r="A63" s="5"/>
      <c r="B63" s="15" t="str">
        <f aca="false">IF($A63="","",SUMIFS(Sotuvlar!$D$5:$D$504,Sotuvlar!$B$5:$B$504,$A63))</f>
        <v/>
      </c>
      <c r="C63" s="15" t="str">
        <f aca="false">IF($A63="","",SUMIFS('Kassa kitobi'!$D$5:$D$504,'Kassa kitobi'!$G$5:$G$504,$A63))</f>
        <v/>
      </c>
      <c r="D63" s="19" t="str">
        <f aca="false">IF($A63="","",B63-C63)</f>
        <v/>
      </c>
    </row>
    <row r="64" customFormat="false" ht="15" hidden="false" customHeight="false" outlineLevel="0" collapsed="false">
      <c r="A64" s="5"/>
      <c r="B64" s="15" t="str">
        <f aca="false">IF($A64="","",SUMIFS(Sotuvlar!$D$5:$D$504,Sotuvlar!$B$5:$B$504,$A64))</f>
        <v/>
      </c>
      <c r="C64" s="15" t="str">
        <f aca="false">IF($A64="","",SUMIFS('Kassa kitobi'!$D$5:$D$504,'Kassa kitobi'!$G$5:$G$504,$A64))</f>
        <v/>
      </c>
      <c r="D64" s="19" t="str">
        <f aca="false">IF($A64="","",B64-C64)</f>
        <v/>
      </c>
    </row>
    <row r="65" customFormat="false" ht="15" hidden="false" customHeight="false" outlineLevel="0" collapsed="false">
      <c r="A65" s="5"/>
      <c r="B65" s="15" t="str">
        <f aca="false">IF($A65="","",SUMIFS(Sotuvlar!$D$5:$D$504,Sotuvlar!$B$5:$B$504,$A65))</f>
        <v/>
      </c>
      <c r="C65" s="15" t="str">
        <f aca="false">IF($A65="","",SUMIFS('Kassa kitobi'!$D$5:$D$504,'Kassa kitobi'!$G$5:$G$504,$A65))</f>
        <v/>
      </c>
      <c r="D65" s="19" t="str">
        <f aca="false">IF($A65="","",B65-C65)</f>
        <v/>
      </c>
    </row>
    <row r="66" customFormat="false" ht="15" hidden="false" customHeight="false" outlineLevel="0" collapsed="false">
      <c r="A66" s="5"/>
      <c r="B66" s="15" t="str">
        <f aca="false">IF($A66="","",SUMIFS(Sotuvlar!$D$5:$D$504,Sotuvlar!$B$5:$B$504,$A66))</f>
        <v/>
      </c>
      <c r="C66" s="15" t="str">
        <f aca="false">IF($A66="","",SUMIFS('Kassa kitobi'!$D$5:$D$504,'Kassa kitobi'!$G$5:$G$504,$A66))</f>
        <v/>
      </c>
      <c r="D66" s="19" t="str">
        <f aca="false">IF($A66="","",B66-C66)</f>
        <v/>
      </c>
    </row>
    <row r="67" customFormat="false" ht="15" hidden="false" customHeight="false" outlineLevel="0" collapsed="false">
      <c r="A67" s="5"/>
      <c r="B67" s="15" t="str">
        <f aca="false">IF($A67="","",SUMIFS(Sotuvlar!$D$5:$D$504,Sotuvlar!$B$5:$B$504,$A67))</f>
        <v/>
      </c>
      <c r="C67" s="15" t="str">
        <f aca="false">IF($A67="","",SUMIFS('Kassa kitobi'!$D$5:$D$504,'Kassa kitobi'!$G$5:$G$504,$A67))</f>
        <v/>
      </c>
      <c r="D67" s="19" t="str">
        <f aca="false">IF($A67="","",B67-C67)</f>
        <v/>
      </c>
    </row>
    <row r="68" customFormat="false" ht="15" hidden="false" customHeight="false" outlineLevel="0" collapsed="false">
      <c r="A68" s="5"/>
      <c r="B68" s="15" t="str">
        <f aca="false">IF($A68="","",SUMIFS(Sotuvlar!$D$5:$D$504,Sotuvlar!$B$5:$B$504,$A68))</f>
        <v/>
      </c>
      <c r="C68" s="15" t="str">
        <f aca="false">IF($A68="","",SUMIFS('Kassa kitobi'!$D$5:$D$504,'Kassa kitobi'!$G$5:$G$504,$A68))</f>
        <v/>
      </c>
      <c r="D68" s="19" t="str">
        <f aca="false">IF($A68="","",B68-C68)</f>
        <v/>
      </c>
    </row>
    <row r="69" customFormat="false" ht="15" hidden="false" customHeight="false" outlineLevel="0" collapsed="false">
      <c r="A69" s="5"/>
      <c r="B69" s="15" t="str">
        <f aca="false">IF($A69="","",SUMIFS(Sotuvlar!$D$5:$D$504,Sotuvlar!$B$5:$B$504,$A69))</f>
        <v/>
      </c>
      <c r="C69" s="15" t="str">
        <f aca="false">IF($A69="","",SUMIFS('Kassa kitobi'!$D$5:$D$504,'Kassa kitobi'!$G$5:$G$504,$A69))</f>
        <v/>
      </c>
      <c r="D69" s="19" t="str">
        <f aca="false">IF($A69="","",B69-C69)</f>
        <v/>
      </c>
    </row>
    <row r="70" customFormat="false" ht="15" hidden="false" customHeight="false" outlineLevel="0" collapsed="false">
      <c r="A70" s="5"/>
      <c r="B70" s="15" t="str">
        <f aca="false">IF($A70="","",SUMIFS(Sotuvlar!$D$5:$D$504,Sotuvlar!$B$5:$B$504,$A70))</f>
        <v/>
      </c>
      <c r="C70" s="15" t="str">
        <f aca="false">IF($A70="","",SUMIFS('Kassa kitobi'!$D$5:$D$504,'Kassa kitobi'!$G$5:$G$504,$A70))</f>
        <v/>
      </c>
      <c r="D70" s="19" t="str">
        <f aca="false">IF($A70="","",B70-C70)</f>
        <v/>
      </c>
    </row>
    <row r="71" customFormat="false" ht="15" hidden="false" customHeight="false" outlineLevel="0" collapsed="false">
      <c r="A71" s="5"/>
      <c r="B71" s="15" t="str">
        <f aca="false">IF($A71="","",SUMIFS(Sotuvlar!$D$5:$D$504,Sotuvlar!$B$5:$B$504,$A71))</f>
        <v/>
      </c>
      <c r="C71" s="15" t="str">
        <f aca="false">IF($A71="","",SUMIFS('Kassa kitobi'!$D$5:$D$504,'Kassa kitobi'!$G$5:$G$504,$A71))</f>
        <v/>
      </c>
      <c r="D71" s="19" t="str">
        <f aca="false">IF($A71="","",B71-C71)</f>
        <v/>
      </c>
    </row>
    <row r="72" customFormat="false" ht="15" hidden="false" customHeight="false" outlineLevel="0" collapsed="false">
      <c r="A72" s="5"/>
      <c r="B72" s="15" t="str">
        <f aca="false">IF($A72="","",SUMIFS(Sotuvlar!$D$5:$D$504,Sotuvlar!$B$5:$B$504,$A72))</f>
        <v/>
      </c>
      <c r="C72" s="15" t="str">
        <f aca="false">IF($A72="","",SUMIFS('Kassa kitobi'!$D$5:$D$504,'Kassa kitobi'!$G$5:$G$504,$A72))</f>
        <v/>
      </c>
      <c r="D72" s="19" t="str">
        <f aca="false">IF($A72="","",B72-C72)</f>
        <v/>
      </c>
    </row>
    <row r="73" customFormat="false" ht="15" hidden="false" customHeight="false" outlineLevel="0" collapsed="false">
      <c r="A73" s="5"/>
      <c r="B73" s="15" t="str">
        <f aca="false">IF($A73="","",SUMIFS(Sotuvlar!$D$5:$D$504,Sotuvlar!$B$5:$B$504,$A73))</f>
        <v/>
      </c>
      <c r="C73" s="15" t="str">
        <f aca="false">IF($A73="","",SUMIFS('Kassa kitobi'!$D$5:$D$504,'Kassa kitobi'!$G$5:$G$504,$A73))</f>
        <v/>
      </c>
      <c r="D73" s="19" t="str">
        <f aca="false">IF($A73="","",B73-C73)</f>
        <v/>
      </c>
    </row>
    <row r="74" customFormat="false" ht="15" hidden="false" customHeight="false" outlineLevel="0" collapsed="false">
      <c r="A74" s="5"/>
      <c r="B74" s="15" t="str">
        <f aca="false">IF($A74="","",SUMIFS(Sotuvlar!$D$5:$D$504,Sotuvlar!$B$5:$B$504,$A74))</f>
        <v/>
      </c>
      <c r="C74" s="15" t="str">
        <f aca="false">IF($A74="","",SUMIFS('Kassa kitobi'!$D$5:$D$504,'Kassa kitobi'!$G$5:$G$504,$A74))</f>
        <v/>
      </c>
      <c r="D74" s="19" t="str">
        <f aca="false">IF($A74="","",B74-C74)</f>
        <v/>
      </c>
    </row>
    <row r="75" customFormat="false" ht="15" hidden="false" customHeight="false" outlineLevel="0" collapsed="false">
      <c r="A75" s="5"/>
      <c r="B75" s="15" t="str">
        <f aca="false">IF($A75="","",SUMIFS(Sotuvlar!$D$5:$D$504,Sotuvlar!$B$5:$B$504,$A75))</f>
        <v/>
      </c>
      <c r="C75" s="15" t="str">
        <f aca="false">IF($A75="","",SUMIFS('Kassa kitobi'!$D$5:$D$504,'Kassa kitobi'!$G$5:$G$504,$A75))</f>
        <v/>
      </c>
      <c r="D75" s="19" t="str">
        <f aca="false">IF($A75="","",B75-C75)</f>
        <v/>
      </c>
    </row>
    <row r="76" customFormat="false" ht="15" hidden="false" customHeight="false" outlineLevel="0" collapsed="false">
      <c r="A76" s="5"/>
      <c r="B76" s="15" t="str">
        <f aca="false">IF($A76="","",SUMIFS(Sotuvlar!$D$5:$D$504,Sotuvlar!$B$5:$B$504,$A76))</f>
        <v/>
      </c>
      <c r="C76" s="15" t="str">
        <f aca="false">IF($A76="","",SUMIFS('Kassa kitobi'!$D$5:$D$504,'Kassa kitobi'!$G$5:$G$504,$A76))</f>
        <v/>
      </c>
      <c r="D76" s="19" t="str">
        <f aca="false">IF($A76="","",B76-C76)</f>
        <v/>
      </c>
    </row>
    <row r="77" customFormat="false" ht="15" hidden="false" customHeight="false" outlineLevel="0" collapsed="false">
      <c r="A77" s="5"/>
      <c r="B77" s="15" t="str">
        <f aca="false">IF($A77="","",SUMIFS(Sotuvlar!$D$5:$D$504,Sotuvlar!$B$5:$B$504,$A77))</f>
        <v/>
      </c>
      <c r="C77" s="15" t="str">
        <f aca="false">IF($A77="","",SUMIFS('Kassa kitobi'!$D$5:$D$504,'Kassa kitobi'!$G$5:$G$504,$A77))</f>
        <v/>
      </c>
      <c r="D77" s="19" t="str">
        <f aca="false">IF($A77="","",B77-C77)</f>
        <v/>
      </c>
    </row>
    <row r="78" customFormat="false" ht="15" hidden="false" customHeight="false" outlineLevel="0" collapsed="false">
      <c r="A78" s="5"/>
      <c r="B78" s="15" t="str">
        <f aca="false">IF($A78="","",SUMIFS(Sotuvlar!$D$5:$D$504,Sotuvlar!$B$5:$B$504,$A78))</f>
        <v/>
      </c>
      <c r="C78" s="15" t="str">
        <f aca="false">IF($A78="","",SUMIFS('Kassa kitobi'!$D$5:$D$504,'Kassa kitobi'!$G$5:$G$504,$A78))</f>
        <v/>
      </c>
      <c r="D78" s="19" t="str">
        <f aca="false">IF($A78="","",B78-C78)</f>
        <v/>
      </c>
    </row>
    <row r="79" customFormat="false" ht="15" hidden="false" customHeight="false" outlineLevel="0" collapsed="false">
      <c r="A79" s="5"/>
      <c r="B79" s="15" t="str">
        <f aca="false">IF($A79="","",SUMIFS(Sotuvlar!$D$5:$D$504,Sotuvlar!$B$5:$B$504,$A79))</f>
        <v/>
      </c>
      <c r="C79" s="15" t="str">
        <f aca="false">IF($A79="","",SUMIFS('Kassa kitobi'!$D$5:$D$504,'Kassa kitobi'!$G$5:$G$504,$A79))</f>
        <v/>
      </c>
      <c r="D79" s="19" t="str">
        <f aca="false">IF($A79="","",B79-C79)</f>
        <v/>
      </c>
    </row>
    <row r="80" customFormat="false" ht="15" hidden="false" customHeight="false" outlineLevel="0" collapsed="false">
      <c r="A80" s="5"/>
      <c r="B80" s="15" t="str">
        <f aca="false">IF($A80="","",SUMIFS(Sotuvlar!$D$5:$D$504,Sotuvlar!$B$5:$B$504,$A80))</f>
        <v/>
      </c>
      <c r="C80" s="15" t="str">
        <f aca="false">IF($A80="","",SUMIFS('Kassa kitobi'!$D$5:$D$504,'Kassa kitobi'!$G$5:$G$504,$A80))</f>
        <v/>
      </c>
      <c r="D80" s="19" t="str">
        <f aca="false">IF($A80="","",B80-C80)</f>
        <v/>
      </c>
    </row>
    <row r="81" customFormat="false" ht="15" hidden="false" customHeight="false" outlineLevel="0" collapsed="false">
      <c r="A81" s="5"/>
      <c r="B81" s="15" t="str">
        <f aca="false">IF($A81="","",SUMIFS(Sotuvlar!$D$5:$D$504,Sotuvlar!$B$5:$B$504,$A81))</f>
        <v/>
      </c>
      <c r="C81" s="15" t="str">
        <f aca="false">IF($A81="","",SUMIFS('Kassa kitobi'!$D$5:$D$504,'Kassa kitobi'!$G$5:$G$504,$A81))</f>
        <v/>
      </c>
      <c r="D81" s="19" t="str">
        <f aca="false">IF($A81="","",B81-C81)</f>
        <v/>
      </c>
    </row>
    <row r="82" customFormat="false" ht="15" hidden="false" customHeight="false" outlineLevel="0" collapsed="false">
      <c r="A82" s="5"/>
      <c r="B82" s="15" t="str">
        <f aca="false">IF($A82="","",SUMIFS(Sotuvlar!$D$5:$D$504,Sotuvlar!$B$5:$B$504,$A82))</f>
        <v/>
      </c>
      <c r="C82" s="15" t="str">
        <f aca="false">IF($A82="","",SUMIFS('Kassa kitobi'!$D$5:$D$504,'Kassa kitobi'!$G$5:$G$504,$A82))</f>
        <v/>
      </c>
      <c r="D82" s="19" t="str">
        <f aca="false">IF($A82="","",B82-C82)</f>
        <v/>
      </c>
    </row>
    <row r="83" customFormat="false" ht="15" hidden="false" customHeight="false" outlineLevel="0" collapsed="false">
      <c r="A83" s="5"/>
      <c r="B83" s="15" t="str">
        <f aca="false">IF($A83="","",SUMIFS(Sotuvlar!$D$5:$D$504,Sotuvlar!$B$5:$B$504,$A83))</f>
        <v/>
      </c>
      <c r="C83" s="15" t="str">
        <f aca="false">IF($A83="","",SUMIFS('Kassa kitobi'!$D$5:$D$504,'Kassa kitobi'!$G$5:$G$504,$A83))</f>
        <v/>
      </c>
      <c r="D83" s="19" t="str">
        <f aca="false">IF($A83="","",B83-C83)</f>
        <v/>
      </c>
    </row>
    <row r="84" customFormat="false" ht="15" hidden="false" customHeight="false" outlineLevel="0" collapsed="false">
      <c r="A84" s="5"/>
      <c r="B84" s="15" t="str">
        <f aca="false">IF($A84="","",SUMIFS(Sotuvlar!$D$5:$D$504,Sotuvlar!$B$5:$B$504,$A84))</f>
        <v/>
      </c>
      <c r="C84" s="15" t="str">
        <f aca="false">IF($A84="","",SUMIFS('Kassa kitobi'!$D$5:$D$504,'Kassa kitobi'!$G$5:$G$504,$A84))</f>
        <v/>
      </c>
      <c r="D84" s="19" t="str">
        <f aca="false">IF($A84="","",B84-C84)</f>
        <v/>
      </c>
    </row>
    <row r="85" customFormat="false" ht="15" hidden="false" customHeight="false" outlineLevel="0" collapsed="false">
      <c r="A85" s="5"/>
      <c r="B85" s="15" t="str">
        <f aca="false">IF($A85="","",SUMIFS(Sotuvlar!$D$5:$D$504,Sotuvlar!$B$5:$B$504,$A85))</f>
        <v/>
      </c>
      <c r="C85" s="15" t="str">
        <f aca="false">IF($A85="","",SUMIFS('Kassa kitobi'!$D$5:$D$504,'Kassa kitobi'!$G$5:$G$504,$A85))</f>
        <v/>
      </c>
      <c r="D85" s="19" t="str">
        <f aca="false">IF($A85="","",B85-C85)</f>
        <v/>
      </c>
    </row>
    <row r="86" customFormat="false" ht="15" hidden="false" customHeight="false" outlineLevel="0" collapsed="false">
      <c r="A86" s="5"/>
      <c r="B86" s="15" t="str">
        <f aca="false">IF($A86="","",SUMIFS(Sotuvlar!$D$5:$D$504,Sotuvlar!$B$5:$B$504,$A86))</f>
        <v/>
      </c>
      <c r="C86" s="15" t="str">
        <f aca="false">IF($A86="","",SUMIFS('Kassa kitobi'!$D$5:$D$504,'Kassa kitobi'!$G$5:$G$504,$A86))</f>
        <v/>
      </c>
      <c r="D86" s="19" t="str">
        <f aca="false">IF($A86="","",B86-C86)</f>
        <v/>
      </c>
    </row>
    <row r="87" customFormat="false" ht="15" hidden="false" customHeight="false" outlineLevel="0" collapsed="false">
      <c r="A87" s="5"/>
      <c r="B87" s="15" t="str">
        <f aca="false">IF($A87="","",SUMIFS(Sotuvlar!$D$5:$D$504,Sotuvlar!$B$5:$B$504,$A87))</f>
        <v/>
      </c>
      <c r="C87" s="15" t="str">
        <f aca="false">IF($A87="","",SUMIFS('Kassa kitobi'!$D$5:$D$504,'Kassa kitobi'!$G$5:$G$504,$A87))</f>
        <v/>
      </c>
      <c r="D87" s="19" t="str">
        <f aca="false">IF($A87="","",B87-C87)</f>
        <v/>
      </c>
    </row>
    <row r="88" customFormat="false" ht="15" hidden="false" customHeight="false" outlineLevel="0" collapsed="false">
      <c r="A88" s="5"/>
      <c r="B88" s="15" t="str">
        <f aca="false">IF($A88="","",SUMIFS(Sotuvlar!$D$5:$D$504,Sotuvlar!$B$5:$B$504,$A88))</f>
        <v/>
      </c>
      <c r="C88" s="15" t="str">
        <f aca="false">IF($A88="","",SUMIFS('Kassa kitobi'!$D$5:$D$504,'Kassa kitobi'!$G$5:$G$504,$A88))</f>
        <v/>
      </c>
      <c r="D88" s="19" t="str">
        <f aca="false">IF($A88="","",B88-C88)</f>
        <v/>
      </c>
    </row>
    <row r="89" customFormat="false" ht="15" hidden="false" customHeight="false" outlineLevel="0" collapsed="false">
      <c r="A89" s="5"/>
      <c r="B89" s="15" t="str">
        <f aca="false">IF($A89="","",SUMIFS(Sotuvlar!$D$5:$D$504,Sotuvlar!$B$5:$B$504,$A89))</f>
        <v/>
      </c>
      <c r="C89" s="15" t="str">
        <f aca="false">IF($A89="","",SUMIFS('Kassa kitobi'!$D$5:$D$504,'Kassa kitobi'!$G$5:$G$504,$A89))</f>
        <v/>
      </c>
      <c r="D89" s="19" t="str">
        <f aca="false">IF($A89="","",B89-C89)</f>
        <v/>
      </c>
    </row>
    <row r="90" customFormat="false" ht="15" hidden="false" customHeight="false" outlineLevel="0" collapsed="false">
      <c r="A90" s="5"/>
      <c r="B90" s="15" t="str">
        <f aca="false">IF($A90="","",SUMIFS(Sotuvlar!$D$5:$D$504,Sotuvlar!$B$5:$B$504,$A90))</f>
        <v/>
      </c>
      <c r="C90" s="15" t="str">
        <f aca="false">IF($A90="","",SUMIFS('Kassa kitobi'!$D$5:$D$504,'Kassa kitobi'!$G$5:$G$504,$A90))</f>
        <v/>
      </c>
      <c r="D90" s="19" t="str">
        <f aca="false">IF($A90="","",B90-C90)</f>
        <v/>
      </c>
    </row>
    <row r="91" customFormat="false" ht="15" hidden="false" customHeight="false" outlineLevel="0" collapsed="false">
      <c r="A91" s="5"/>
      <c r="B91" s="15" t="str">
        <f aca="false">IF($A91="","",SUMIFS(Sotuvlar!$D$5:$D$504,Sotuvlar!$B$5:$B$504,$A91))</f>
        <v/>
      </c>
      <c r="C91" s="15" t="str">
        <f aca="false">IF($A91="","",SUMIFS('Kassa kitobi'!$D$5:$D$504,'Kassa kitobi'!$G$5:$G$504,$A91))</f>
        <v/>
      </c>
      <c r="D91" s="19" t="str">
        <f aca="false">IF($A91="","",B91-C91)</f>
        <v/>
      </c>
    </row>
    <row r="92" customFormat="false" ht="15" hidden="false" customHeight="false" outlineLevel="0" collapsed="false">
      <c r="A92" s="5"/>
      <c r="B92" s="15" t="str">
        <f aca="false">IF($A92="","",SUMIFS(Sotuvlar!$D$5:$D$504,Sotuvlar!$B$5:$B$504,$A92))</f>
        <v/>
      </c>
      <c r="C92" s="15" t="str">
        <f aca="false">IF($A92="","",SUMIFS('Kassa kitobi'!$D$5:$D$504,'Kassa kitobi'!$G$5:$G$504,$A92))</f>
        <v/>
      </c>
      <c r="D92" s="19" t="str">
        <f aca="false">IF($A92="","",B92-C92)</f>
        <v/>
      </c>
    </row>
    <row r="93" customFormat="false" ht="15" hidden="false" customHeight="false" outlineLevel="0" collapsed="false">
      <c r="A93" s="5"/>
      <c r="B93" s="15" t="str">
        <f aca="false">IF($A93="","",SUMIFS(Sotuvlar!$D$5:$D$504,Sotuvlar!$B$5:$B$504,$A93))</f>
        <v/>
      </c>
      <c r="C93" s="15" t="str">
        <f aca="false">IF($A93="","",SUMIFS('Kassa kitobi'!$D$5:$D$504,'Kassa kitobi'!$G$5:$G$504,$A93))</f>
        <v/>
      </c>
      <c r="D93" s="19" t="str">
        <f aca="false">IF($A93="","",B93-C93)</f>
        <v/>
      </c>
    </row>
    <row r="94" customFormat="false" ht="15" hidden="false" customHeight="false" outlineLevel="0" collapsed="false">
      <c r="A94" s="5"/>
      <c r="B94" s="15" t="str">
        <f aca="false">IF($A94="","",SUMIFS(Sotuvlar!$D$5:$D$504,Sotuvlar!$B$5:$B$504,$A94))</f>
        <v/>
      </c>
      <c r="C94" s="15" t="str">
        <f aca="false">IF($A94="","",SUMIFS('Kassa kitobi'!$D$5:$D$504,'Kassa kitobi'!$G$5:$G$504,$A94))</f>
        <v/>
      </c>
      <c r="D94" s="19" t="str">
        <f aca="false">IF($A94="","",B94-C94)</f>
        <v/>
      </c>
    </row>
    <row r="95" customFormat="false" ht="15" hidden="false" customHeight="false" outlineLevel="0" collapsed="false">
      <c r="A95" s="5"/>
      <c r="B95" s="15" t="str">
        <f aca="false">IF($A95="","",SUMIFS(Sotuvlar!$D$5:$D$504,Sotuvlar!$B$5:$B$504,$A95))</f>
        <v/>
      </c>
      <c r="C95" s="15" t="str">
        <f aca="false">IF($A95="","",SUMIFS('Kassa kitobi'!$D$5:$D$504,'Kassa kitobi'!$G$5:$G$504,$A95))</f>
        <v/>
      </c>
      <c r="D95" s="19" t="str">
        <f aca="false">IF($A95="","",B95-C95)</f>
        <v/>
      </c>
    </row>
    <row r="96" customFormat="false" ht="15" hidden="false" customHeight="false" outlineLevel="0" collapsed="false">
      <c r="A96" s="5"/>
      <c r="B96" s="15" t="str">
        <f aca="false">IF($A96="","",SUMIFS(Sotuvlar!$D$5:$D$504,Sotuvlar!$B$5:$B$504,$A96))</f>
        <v/>
      </c>
      <c r="C96" s="15" t="str">
        <f aca="false">IF($A96="","",SUMIFS('Kassa kitobi'!$D$5:$D$504,'Kassa kitobi'!$G$5:$G$504,$A96))</f>
        <v/>
      </c>
      <c r="D96" s="19" t="str">
        <f aca="false">IF($A96="","",B96-C96)</f>
        <v/>
      </c>
    </row>
    <row r="97" customFormat="false" ht="15" hidden="false" customHeight="false" outlineLevel="0" collapsed="false">
      <c r="A97" s="5"/>
      <c r="B97" s="15" t="str">
        <f aca="false">IF($A97="","",SUMIFS(Sotuvlar!$D$5:$D$504,Sotuvlar!$B$5:$B$504,$A97))</f>
        <v/>
      </c>
      <c r="C97" s="15" t="str">
        <f aca="false">IF($A97="","",SUMIFS('Kassa kitobi'!$D$5:$D$504,'Kassa kitobi'!$G$5:$G$504,$A97))</f>
        <v/>
      </c>
      <c r="D97" s="19" t="str">
        <f aca="false">IF($A97="","",B97-C97)</f>
        <v/>
      </c>
    </row>
    <row r="98" customFormat="false" ht="15" hidden="false" customHeight="false" outlineLevel="0" collapsed="false">
      <c r="A98" s="5"/>
      <c r="B98" s="15" t="str">
        <f aca="false">IF($A98="","",SUMIFS(Sotuvlar!$D$5:$D$504,Sotuvlar!$B$5:$B$504,$A98))</f>
        <v/>
      </c>
      <c r="C98" s="15" t="str">
        <f aca="false">IF($A98="","",SUMIFS('Kassa kitobi'!$D$5:$D$504,'Kassa kitobi'!$G$5:$G$504,$A98))</f>
        <v/>
      </c>
      <c r="D98" s="19" t="str">
        <f aca="false">IF($A98="","",B98-C98)</f>
        <v/>
      </c>
    </row>
    <row r="99" customFormat="false" ht="15" hidden="false" customHeight="false" outlineLevel="0" collapsed="false">
      <c r="A99" s="5"/>
      <c r="B99" s="15" t="str">
        <f aca="false">IF($A99="","",SUMIFS(Sotuvlar!$D$5:$D$504,Sotuvlar!$B$5:$B$504,$A99))</f>
        <v/>
      </c>
      <c r="C99" s="15" t="str">
        <f aca="false">IF($A99="","",SUMIFS('Kassa kitobi'!$D$5:$D$504,'Kassa kitobi'!$G$5:$G$504,$A99))</f>
        <v/>
      </c>
      <c r="D99" s="19" t="str">
        <f aca="false">IF($A99="","",B99-C99)</f>
        <v/>
      </c>
    </row>
    <row r="100" customFormat="false" ht="15" hidden="false" customHeight="false" outlineLevel="0" collapsed="false">
      <c r="A100" s="5"/>
      <c r="B100" s="15" t="str">
        <f aca="false">IF($A100="","",SUMIFS(Sotuvlar!$D$5:$D$504,Sotuvlar!$B$5:$B$504,$A100))</f>
        <v/>
      </c>
      <c r="C100" s="15" t="str">
        <f aca="false">IF($A100="","",SUMIFS('Kassa kitobi'!$D$5:$D$504,'Kassa kitobi'!$G$5:$G$504,$A100))</f>
        <v/>
      </c>
      <c r="D100" s="19" t="str">
        <f aca="false">IF($A100="","",B100-C100)</f>
        <v/>
      </c>
    </row>
    <row r="101" customFormat="false" ht="15" hidden="false" customHeight="false" outlineLevel="0" collapsed="false">
      <c r="A101" s="5"/>
      <c r="B101" s="15" t="str">
        <f aca="false">IF($A101="","",SUMIFS(Sotuvlar!$D$5:$D$504,Sotuvlar!$B$5:$B$504,$A101))</f>
        <v/>
      </c>
      <c r="C101" s="15" t="str">
        <f aca="false">IF($A101="","",SUMIFS('Kassa kitobi'!$D$5:$D$504,'Kassa kitobi'!$G$5:$G$504,$A101))</f>
        <v/>
      </c>
      <c r="D101" s="19" t="str">
        <f aca="false">IF($A101="","",B101-C101)</f>
        <v/>
      </c>
    </row>
    <row r="102" customFormat="false" ht="15" hidden="false" customHeight="false" outlineLevel="0" collapsed="false">
      <c r="A102" s="5"/>
      <c r="B102" s="15" t="str">
        <f aca="false">IF($A102="","",SUMIFS(Sotuvlar!$D$5:$D$504,Sotuvlar!$B$5:$B$504,$A102))</f>
        <v/>
      </c>
      <c r="C102" s="15" t="str">
        <f aca="false">IF($A102="","",SUMIFS('Kassa kitobi'!$D$5:$D$504,'Kassa kitobi'!$G$5:$G$504,$A102))</f>
        <v/>
      </c>
      <c r="D102" s="19" t="str">
        <f aca="false">IF($A102="","",B102-C102)</f>
        <v/>
      </c>
    </row>
    <row r="103" customFormat="false" ht="15" hidden="false" customHeight="false" outlineLevel="0" collapsed="false">
      <c r="A103" s="5"/>
      <c r="B103" s="15" t="str">
        <f aca="false">IF($A103="","",SUMIFS(Sotuvlar!$D$5:$D$504,Sotuvlar!$B$5:$B$504,$A103))</f>
        <v/>
      </c>
      <c r="C103" s="15" t="str">
        <f aca="false">IF($A103="","",SUMIFS('Kassa kitobi'!$D$5:$D$504,'Kassa kitobi'!$G$5:$G$504,$A103))</f>
        <v/>
      </c>
      <c r="D103" s="19" t="str">
        <f aca="false">IF($A103="","",B103-C103)</f>
        <v/>
      </c>
    </row>
    <row r="104" customFormat="false" ht="15" hidden="false" customHeight="false" outlineLevel="0" collapsed="false">
      <c r="A104" s="5"/>
      <c r="B104" s="15" t="str">
        <f aca="false">IF($A104="","",SUMIFS(Sotuvlar!$D$5:$D$504,Sotuvlar!$B$5:$B$504,$A104))</f>
        <v/>
      </c>
      <c r="C104" s="15" t="str">
        <f aca="false">IF($A104="","",SUMIFS('Kassa kitobi'!$D$5:$D$504,'Kassa kitobi'!$G$5:$G$504,$A104))</f>
        <v/>
      </c>
      <c r="D104" s="19" t="str">
        <f aca="false">IF($A104="","",B104-C104)</f>
        <v/>
      </c>
    </row>
    <row r="105" customFormat="false" ht="15" hidden="false" customHeight="false" outlineLevel="0" collapsed="false">
      <c r="A105" s="5"/>
      <c r="B105" s="15" t="str">
        <f aca="false">IF($A105="","",SUMIFS(Sotuvlar!$D$5:$D$504,Sotuvlar!$B$5:$B$504,$A105))</f>
        <v/>
      </c>
      <c r="C105" s="15" t="str">
        <f aca="false">IF($A105="","",SUMIFS('Kassa kitobi'!$D$5:$D$504,'Kassa kitobi'!$G$5:$G$504,$A105))</f>
        <v/>
      </c>
      <c r="D105" s="19" t="str">
        <f aca="false">IF($A105="","",B105-C105)</f>
        <v/>
      </c>
    </row>
    <row r="106" customFormat="false" ht="15" hidden="false" customHeight="false" outlineLevel="0" collapsed="false">
      <c r="A106" s="5"/>
      <c r="B106" s="15" t="str">
        <f aca="false">IF($A106="","",SUMIFS(Sotuvlar!$D$5:$D$504,Sotuvlar!$B$5:$B$504,$A106))</f>
        <v/>
      </c>
      <c r="C106" s="15" t="str">
        <f aca="false">IF($A106="","",SUMIFS('Kassa kitobi'!$D$5:$D$504,'Kassa kitobi'!$G$5:$G$504,$A106))</f>
        <v/>
      </c>
      <c r="D106" s="19" t="str">
        <f aca="false">IF($A106="","",B106-C106)</f>
        <v/>
      </c>
    </row>
  </sheetData>
  <conditionalFormatting sqref="D7:D10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2026-10-15T15:26:54Z</dcterms:created>
  <dc:creator>openpyxl</dc:creator>
  <dc:description/>
  <dc:language>en-US</dc:language>
  <cp:lastModifiedBy/>
  <dcterms:modified xsi:type="dcterms:W3CDTF">2026-10-15T15:26:55Z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