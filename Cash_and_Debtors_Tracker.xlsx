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mmary" sheetId="2" state="visible" r:id="rId4"/>
    <sheet name="Cash Book" sheetId="3" state="visible" r:id="rId5"/>
    <sheet name="Debtors" sheetId="4" state="visible" r:id="rId6"/>
    <sheet name="Invoi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<sst xmlns="http://schemas.openxmlformats.org/spreadsheetml/2006/main" count="80" uniqueCount="71">
  <si>
    <t xml:space="preserve">Business Cash &amp; Debtors Tracker</t>
  </si>
  <si>
    <t xml:space="preserve">Yellow cells = you type. White cells = automatic, do not type over them.</t>
  </si>
  <si>
    <t xml:space="preserve">Opening cash balance</t>
  </si>
  <si>
    <t xml:space="preserve">Cash you had on day one, before the first entry (assumption: entered by you).</t>
  </si>
  <si>
    <t xml:space="preserve">Business name</t>
  </si>
  <si>
    <t xml:space="preserve">My Business</t>
  </si>
  <si>
    <t xml:space="preserve">Currency symbol (label only)</t>
  </si>
  <si>
    <t xml:space="preserve">$</t>
  </si>
  <si>
    <t xml:space="preserve">HOW TO USE (3 steps)</t>
  </si>
  <si>
    <t xml:space="preserve">1. Cash Book: record every cash/bank movement. Money received goes in 'Money In', money paid goes in 'Money Out' as a NEGATIVE number (rent of 200 = -200). Balance updates itself.</t>
  </si>
  <si>
    <t xml:space="preserve">2. Invoices: when you sell on credit, record the invoice (client, amount, due date).</t>
  </si>
  <si>
    <t xml:space="preserve">3. When a client pays, record it in the Cash Book under 'Money In' and type the Invoice No in the last column. The invoice balance reduces automatically.</t>
  </si>
  <si>
    <t xml:space="preserve">Add new clients in the 'Debtors' sheet (column A). Then they appear in the Invoices drop-down.</t>
  </si>
  <si>
    <t xml:space="preserve">Summary shows cash on hand, what clients owe you, overdue amounts and a month-by-month view. Change the year there.</t>
  </si>
  <si>
    <t xml:space="preserve">Example rows (marked EXAMPLE) are there to show the format - overwrite or delete them. Formulas are filled down to row 504.</t>
  </si>
  <si>
    <t xml:space="preserve">CATEGORIES (edit the list - used in the Cash Book drop-down)</t>
  </si>
  <si>
    <t xml:space="preserve">Sales / Client payment</t>
  </si>
  <si>
    <t xml:space="preserve">Other income</t>
  </si>
  <si>
    <t xml:space="preserve">Rent</t>
  </si>
  <si>
    <t xml:space="preserve">Salaries</t>
  </si>
  <si>
    <t xml:space="preserve">Supplies</t>
  </si>
  <si>
    <t xml:space="preserve">Utilities</t>
  </si>
  <si>
    <t xml:space="preserve">Transport</t>
  </si>
  <si>
    <t xml:space="preserve">Marketing</t>
  </si>
  <si>
    <t xml:space="preserve">Taxes</t>
  </si>
  <si>
    <t xml:space="preserve">Loan / Owner</t>
  </si>
  <si>
    <t xml:space="preserve">Other expense</t>
  </si>
  <si>
    <t xml:space="preserve">Summary</t>
  </si>
  <si>
    <t xml:space="preserve">Everything here is automatic. Only change the year.</t>
  </si>
  <si>
    <t xml:space="preserve">Total money in</t>
  </si>
  <si>
    <t xml:space="preserve">Total money out</t>
  </si>
  <si>
    <t xml:space="preserve">CASH ON HAND NOW</t>
  </si>
  <si>
    <t xml:space="preserve">Owed to you by clients</t>
  </si>
  <si>
    <t xml:space="preserve">Of which OVERDUE</t>
  </si>
  <si>
    <t xml:space="preserve">Year to show</t>
  </si>
  <si>
    <t xml:space="preserve">Month</t>
  </si>
  <si>
    <t xml:space="preserve">Money in</t>
  </si>
  <si>
    <t xml:space="preserve">Money out</t>
  </si>
  <si>
    <t xml:space="preserve">Net cash flow</t>
  </si>
  <si>
    <t xml:space="preserve">TOTAL</t>
  </si>
  <si>
    <t xml:space="preserve">Cash Book - money in and money out</t>
  </si>
  <si>
    <t xml:space="preserve">Type in yellow columns only. Money In = positive, Money Out = negative (e.g. -200). Balance is automatic.</t>
  </si>
  <si>
    <t xml:space="preserve">Date</t>
  </si>
  <si>
    <t xml:space="preserve">Description</t>
  </si>
  <si>
    <t xml:space="preserve">Category</t>
  </si>
  <si>
    <t xml:space="preserve">Money In</t>
  </si>
  <si>
    <t xml:space="preserve">Money Out
(enter as -)</t>
  </si>
  <si>
    <t xml:space="preserve">Balance</t>
  </si>
  <si>
    <t xml:space="preserve">Invoice No
(if client payment)</t>
  </si>
  <si>
    <t xml:space="preserve">EXAMPLE - payment from Acme Ltd</t>
  </si>
  <si>
    <t xml:space="preserve">INV-001</t>
  </si>
  <si>
    <t xml:space="preserve">EXAMPLE - office rent</t>
  </si>
  <si>
    <t xml:space="preserve">Debtors - what each client owes you</t>
  </si>
  <si>
    <t xml:space="preserve">Type client names in column A. Everything else is automatic.</t>
  </si>
  <si>
    <t xml:space="preserve">Client</t>
  </si>
  <si>
    <t xml:space="preserve">Total invoiced</t>
  </si>
  <si>
    <t xml:space="preserve">Total paid</t>
  </si>
  <si>
    <t xml:space="preserve">Balance owed</t>
  </si>
  <si>
    <t xml:space="preserve">Of which overdue</t>
  </si>
  <si>
    <t xml:space="preserve">Client list (add below)</t>
  </si>
  <si>
    <t xml:space="preserve">Acme Ltd</t>
  </si>
  <si>
    <t xml:space="preserve">Invoices - sales on credit</t>
  </si>
  <si>
    <t xml:space="preserve">Type in yellow columns. 'Paid' comes from the Cash Book (matching Invoice No).</t>
  </si>
  <si>
    <t xml:space="preserve">Invoice No</t>
  </si>
  <si>
    <t xml:space="preserve">Invoice date</t>
  </si>
  <si>
    <t xml:space="preserve">Amount</t>
  </si>
  <si>
    <t xml:space="preserve">Due date</t>
  </si>
  <si>
    <t xml:space="preserve">Paid so far</t>
  </si>
  <si>
    <t xml:space="preserve">Status</t>
  </si>
  <si>
    <t xml:space="preserve">Days overdue</t>
  </si>
  <si>
    <t xml:space="preserve">EXAMPLE - goods supplied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</si>
</sst>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mmmm"/>
    <numFmt numFmtId="167" formatCode="dd\-mmm\-yyyy"/>
    <numFmt numFmtId="168" formatCode="0;\-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C6E0B4"/>
      </patternFill>
    </fill>
    <fill>
      <patternFill patternType="solid">
        <fgColor rgb="FF1F386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color rgb="FF375623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8" customFormat="false" ht="15" hidden="false" customHeight="false" outlineLevel="0" collapsed="false">
      <c r="A8" s="6" t="s">
        <v>8</v>
      </c>
    </row>
    <row r="9" customFormat="false" ht="15" hidden="false" customHeight="false" outlineLevel="0" collapsed="false">
      <c r="A9" s="7" t="s">
        <v>9</v>
      </c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7" t="s">
        <v>11</v>
      </c>
    </row>
    <row r="12" customFormat="false" ht="15" hidden="false" customHeight="false" outlineLevel="0" collapsed="false">
      <c r="A12" s="7" t="s">
        <v>12</v>
      </c>
    </row>
    <row r="13" customFormat="false" ht="15" hidden="false" customHeight="false" outlineLevel="0" collapsed="false">
      <c r="A13" s="7" t="s">
        <v>13</v>
      </c>
    </row>
    <row r="14" customFormat="false" ht="15" hidden="false" customHeight="false" outlineLevel="0" collapsed="false">
      <c r="A14" s="7" t="s">
        <v>14</v>
      </c>
    </row>
    <row r="16" customFormat="false" ht="15" hidden="false" customHeight="false" outlineLevel="0" collapsed="false">
      <c r="A16" s="6" t="s">
        <v>15</v>
      </c>
    </row>
    <row r="17" customFormat="false" ht="15" hidden="false" customHeight="false" outlineLevel="0" collapsed="false">
      <c r="A17" s="5" t="s">
        <v>16</v>
      </c>
    </row>
    <row r="18" customFormat="false" ht="15" hidden="false" customHeight="false" outlineLevel="0" collapsed="false">
      <c r="A18" s="5" t="s">
        <v>17</v>
      </c>
    </row>
    <row r="19" customFormat="false" ht="15" hidden="false" customHeight="false" outlineLevel="0" collapsed="false">
      <c r="A19" s="5" t="s">
        <v>18</v>
      </c>
    </row>
    <row r="20" customFormat="false" ht="15" hidden="false" customHeight="false" outlineLevel="0" collapsed="false">
      <c r="A20" s="5" t="s">
        <v>19</v>
      </c>
    </row>
    <row r="21" customFormat="false" ht="15" hidden="false" customHeight="false" outlineLevel="0" collapsed="false">
      <c r="A21" s="5" t="s">
        <v>20</v>
      </c>
    </row>
    <row r="22" customFormat="false" ht="15" hidden="false" customHeight="false" outlineLevel="0" collapsed="false">
      <c r="A22" s="5" t="s">
        <v>21</v>
      </c>
    </row>
    <row r="23" customFormat="false" ht="15" hidden="false" customHeight="false" outlineLevel="0" collapsed="false">
      <c r="A23" s="5" t="s">
        <v>22</v>
      </c>
    </row>
    <row r="24" customFormat="false" ht="15" hidden="false" customHeight="false" outlineLevel="0" collapsed="false">
      <c r="A24" s="5" t="s">
        <v>23</v>
      </c>
    </row>
    <row r="25" customFormat="false" ht="15" hidden="false" customHeight="false" outlineLevel="0" collapsed="false">
      <c r="A25" s="5" t="s">
        <v>24</v>
      </c>
    </row>
    <row r="26" customFormat="false" ht="15" hidden="false" customHeight="false" outlineLevel="0" collapsed="false">
      <c r="A26" s="5" t="s">
        <v>25</v>
      </c>
    </row>
    <row r="27" customFormat="false" ht="15" hidden="false" customHeight="false" outlineLevel="0" collapsed="false">
      <c r="A27" s="5" t="s">
        <v>26</v>
      </c>
    </row>
    <row r="28" customFormat="false" ht="15" hidden="false" customHeight="false" outlineLevel="0" collapsed="false">
      <c r="A28" s="5"/>
    </row>
    <row r="29" customFormat="false" ht="15" hidden="false" customHeight="false" outlineLevel="0" collapsed="false">
      <c r="A29" s="5"/>
    </row>
    <row r="30" customFormat="false" ht="15" hidden="false" customHeight="false" outlineLevel="0" collapsed="false">
      <c r="A30" s="5"/>
    </row>
    <row r="31" customFormat="false" ht="15" hidden="false" customHeight="false" outlineLevel="0" collapsed="false">
      <c r="A31" s="5"/>
    </row>
    <row r="32" customFormat="false" ht="15" hidden="false" customHeight="false" outlineLevel="0" collapsed="false">
      <c r="A32" s="5"/>
    </row>
    <row r="33" customFormat="false" ht="15" hidden="false" customHeight="false" outlineLevel="0" collapsed="false">
      <c r="A3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2</v>
      </c>
      <c r="B4" s="9" t="n">
        <f aca="false">'Start Here'!B4</f>
        <v>0</v>
      </c>
    </row>
    <row r="5" customFormat="false" ht="15" hidden="false" customHeight="false" outlineLevel="0" collapsed="false">
      <c r="A5" s="8" t="s">
        <v>29</v>
      </c>
      <c r="B5" s="9" t="n">
        <f aca="false">SUM('Cash Book'!D5:D504)</f>
        <v>500</v>
      </c>
    </row>
    <row r="6" customFormat="false" ht="15" hidden="false" customHeight="false" outlineLevel="0" collapsed="false">
      <c r="A6" s="8" t="s">
        <v>30</v>
      </c>
      <c r="B6" s="9" t="n">
        <f aca="false">SUM('Cash Book'!E5:E504)</f>
        <v>-300</v>
      </c>
    </row>
    <row r="7" customFormat="false" ht="15" hidden="false" customHeight="false" outlineLevel="0" collapsed="false">
      <c r="A7" s="10" t="s">
        <v>31</v>
      </c>
      <c r="B7" s="11" t="n">
        <f aca="false">B4+B5+B6</f>
        <v>200</v>
      </c>
    </row>
    <row r="8" customFormat="false" ht="15" hidden="false" customHeight="false" outlineLevel="0" collapsed="false">
      <c r="A8" s="8" t="s">
        <v>32</v>
      </c>
      <c r="B8" s="9" t="n">
        <f aca="false">Debtors!D5</f>
        <v>700</v>
      </c>
    </row>
    <row r="9" customFormat="false" ht="15" hidden="false" customHeight="false" outlineLevel="0" collapsed="false">
      <c r="A9" s="10" t="s">
        <v>33</v>
      </c>
      <c r="B9" s="12" t="n">
        <f aca="false">Debtors!E5</f>
        <v>0</v>
      </c>
    </row>
    <row r="11" customFormat="false" ht="15" hidden="false" customHeight="false" outlineLevel="0" collapsed="false">
      <c r="A11" s="3" t="s">
        <v>34</v>
      </c>
      <c r="B11" s="13" t="n">
        <v>2026</v>
      </c>
    </row>
    <row r="13" customFormat="false" ht="15" hidden="false" customHeight="false" outlineLevel="0" collapsed="false">
      <c r="A13" s="14" t="s">
        <v>35</v>
      </c>
      <c r="B13" s="14" t="s">
        <v>36</v>
      </c>
      <c r="C13" s="14" t="s">
        <v>37</v>
      </c>
      <c r="D13" s="14" t="s">
        <v>38</v>
      </c>
    </row>
    <row r="14" customFormat="false" ht="15" hidden="false" customHeight="false" outlineLevel="0" collapsed="false">
      <c r="A14" s="15" t="n">
        <f aca="false">DATE($B$11,1,1)</f>
        <v>46023</v>
      </c>
      <c r="B14" s="16" t="n">
        <f aca="false">SUMIFS('Cash Book'!$D$5:$D$504,'Cash Book'!$A$5:$A$504,"&gt;="&amp;$A14,'Cash Book'!$A$5:$A$504,"&lt;"&amp;DATE($B$11,2,1))</f>
        <v>0</v>
      </c>
      <c r="C14" s="16" t="n">
        <f aca="false">SUMIFS('Cash Book'!$E$5:$E$504,'Cash Book'!$A$5:$A$504,"&gt;="&amp;$A14,'Cash Book'!$A$5:$A$504,"&lt;"&amp;DATE($B$11,2,1))</f>
        <v>0</v>
      </c>
      <c r="D14" s="16" t="n">
        <f aca="false">B14+C14</f>
        <v>0</v>
      </c>
    </row>
    <row r="15" customFormat="false" ht="15" hidden="false" customHeight="false" outlineLevel="0" collapsed="false">
      <c r="A15" s="15" t="n">
        <f aca="false">DATE($B$11,2,1)</f>
        <v>46054</v>
      </c>
      <c r="B15" s="16" t="n">
        <f aca="false">SUMIFS('Cash Book'!$D$5:$D$504,'Cash Book'!$A$5:$A$504,"&gt;="&amp;$A15,'Cash Book'!$A$5:$A$504,"&lt;"&amp;DATE($B$11,3,1))</f>
        <v>0</v>
      </c>
      <c r="C15" s="16" t="n">
        <f aca="false">SUMIFS('Cash Book'!$E$5:$E$504,'Cash Book'!$A$5:$A$504,"&gt;="&amp;$A15,'Cash Book'!$A$5:$A$504,"&lt;"&amp;DATE($B$11,3,1))</f>
        <v>0</v>
      </c>
      <c r="D15" s="16" t="n">
        <f aca="false">B15+C15</f>
        <v>0</v>
      </c>
    </row>
    <row r="16" customFormat="false" ht="15" hidden="false" customHeight="false" outlineLevel="0" collapsed="false">
      <c r="A16" s="15" t="n">
        <f aca="false">DATE($B$11,3,1)</f>
        <v>46082</v>
      </c>
      <c r="B16" s="16" t="n">
        <f aca="false">SUMIFS('Cash Book'!$D$5:$D$504,'Cash Book'!$A$5:$A$504,"&gt;="&amp;$A16,'Cash Book'!$A$5:$A$504,"&lt;"&amp;DATE($B$11,4,1))</f>
        <v>0</v>
      </c>
      <c r="C16" s="16" t="n">
        <f aca="false">SUMIFS('Cash Book'!$E$5:$E$504,'Cash Book'!$A$5:$A$504,"&gt;="&amp;$A16,'Cash Book'!$A$5:$A$504,"&lt;"&amp;DATE($B$11,4,1))</f>
        <v>0</v>
      </c>
      <c r="D16" s="16" t="n">
        <f aca="false">B16+C16</f>
        <v>0</v>
      </c>
    </row>
    <row r="17" customFormat="false" ht="15" hidden="false" customHeight="false" outlineLevel="0" collapsed="false">
      <c r="A17" s="15" t="n">
        <f aca="false">DATE($B$11,4,1)</f>
        <v>46113</v>
      </c>
      <c r="B17" s="16" t="n">
        <f aca="false">SUMIFS('Cash Book'!$D$5:$D$504,'Cash Book'!$A$5:$A$504,"&gt;="&amp;$A17,'Cash Book'!$A$5:$A$504,"&lt;"&amp;DATE($B$11,5,1))</f>
        <v>0</v>
      </c>
      <c r="C17" s="16" t="n">
        <f aca="false">SUMIFS('Cash Book'!$E$5:$E$504,'Cash Book'!$A$5:$A$504,"&gt;="&amp;$A17,'Cash Book'!$A$5:$A$504,"&lt;"&amp;DATE($B$11,5,1))</f>
        <v>0</v>
      </c>
      <c r="D17" s="16" t="n">
        <f aca="false">B17+C17</f>
        <v>0</v>
      </c>
    </row>
    <row r="18" customFormat="false" ht="15" hidden="false" customHeight="false" outlineLevel="0" collapsed="false">
      <c r="A18" s="15" t="n">
        <f aca="false">DATE($B$11,5,1)</f>
        <v>46143</v>
      </c>
      <c r="B18" s="16" t="n">
        <f aca="false">SUMIFS('Cash Book'!$D$5:$D$504,'Cash Book'!$A$5:$A$504,"&gt;="&amp;$A18,'Cash Book'!$A$5:$A$504,"&lt;"&amp;DATE($B$11,6,1))</f>
        <v>0</v>
      </c>
      <c r="C18" s="16" t="n">
        <f aca="false">SUMIFS('Cash Book'!$E$5:$E$504,'Cash Book'!$A$5:$A$504,"&gt;="&amp;$A18,'Cash Book'!$A$5:$A$504,"&lt;"&amp;DATE($B$11,6,1))</f>
        <v>0</v>
      </c>
      <c r="D18" s="16" t="n">
        <f aca="false">B18+C18</f>
        <v>0</v>
      </c>
    </row>
    <row r="19" customFormat="false" ht="15" hidden="false" customHeight="false" outlineLevel="0" collapsed="false">
      <c r="A19" s="15" t="n">
        <f aca="false">DATE($B$11,6,1)</f>
        <v>46174</v>
      </c>
      <c r="B19" s="16" t="n">
        <f aca="false">SUMIFS('Cash Book'!$D$5:$D$504,'Cash Book'!$A$5:$A$504,"&gt;="&amp;$A19,'Cash Book'!$A$5:$A$504,"&lt;"&amp;DATE($B$11,7,1))</f>
        <v>0</v>
      </c>
      <c r="C19" s="16" t="n">
        <f aca="false">SUMIFS('Cash Book'!$E$5:$E$504,'Cash Book'!$A$5:$A$504,"&gt;="&amp;$A19,'Cash Book'!$A$5:$A$504,"&lt;"&amp;DATE($B$11,7,1))</f>
        <v>0</v>
      </c>
      <c r="D19" s="16" t="n">
        <f aca="false">B19+C19</f>
        <v>0</v>
      </c>
    </row>
    <row r="20" customFormat="false" ht="15" hidden="false" customHeight="false" outlineLevel="0" collapsed="false">
      <c r="A20" s="15" t="n">
        <f aca="false">DATE($B$11,7,1)</f>
        <v>46204</v>
      </c>
      <c r="B20" s="16" t="n">
        <f aca="false">SUMIFS('Cash Book'!$D$5:$D$504,'Cash Book'!$A$5:$A$504,"&gt;="&amp;$A20,'Cash Book'!$A$5:$A$504,"&lt;"&amp;DATE($B$11,8,1))</f>
        <v>0</v>
      </c>
      <c r="C20" s="16" t="n">
        <f aca="false">SUMIFS('Cash Book'!$E$5:$E$504,'Cash Book'!$A$5:$A$504,"&gt;="&amp;$A20,'Cash Book'!$A$5:$A$504,"&lt;"&amp;DATE($B$11,8,1))</f>
        <v>0</v>
      </c>
      <c r="D20" s="16" t="n">
        <f aca="false">B20+C20</f>
        <v>0</v>
      </c>
    </row>
    <row r="21" customFormat="false" ht="15" hidden="false" customHeight="false" outlineLevel="0" collapsed="false">
      <c r="A21" s="15" t="n">
        <f aca="false">DATE($B$11,8,1)</f>
        <v>46235</v>
      </c>
      <c r="B21" s="16" t="n">
        <f aca="false">SUMIFS('Cash Book'!$D$5:$D$504,'Cash Book'!$A$5:$A$504,"&gt;="&amp;$A21,'Cash Book'!$A$5:$A$504,"&lt;"&amp;DATE($B$11,9,1))</f>
        <v>0</v>
      </c>
      <c r="C21" s="16" t="n">
        <f aca="false">SUMIFS('Cash Book'!$E$5:$E$504,'Cash Book'!$A$5:$A$504,"&gt;="&amp;$A21,'Cash Book'!$A$5:$A$504,"&lt;"&amp;DATE($B$11,9,1))</f>
        <v>0</v>
      </c>
      <c r="D21" s="16" t="n">
        <f aca="false">B21+C21</f>
        <v>0</v>
      </c>
    </row>
    <row r="22" customFormat="false" ht="15" hidden="false" customHeight="false" outlineLevel="0" collapsed="false">
      <c r="A22" s="15" t="n">
        <f aca="false">DATE($B$11,9,1)</f>
        <v>46266</v>
      </c>
      <c r="B22" s="16" t="n">
        <f aca="false">SUMIFS('Cash Book'!$D$5:$D$504,'Cash Book'!$A$5:$A$504,"&gt;="&amp;$A22,'Cash Book'!$A$5:$A$504,"&lt;"&amp;DATE($B$11,10,1))</f>
        <v>0</v>
      </c>
      <c r="C22" s="16" t="n">
        <f aca="false">SUMIFS('Cash Book'!$E$5:$E$504,'Cash Book'!$A$5:$A$504,"&gt;="&amp;$A22,'Cash Book'!$A$5:$A$504,"&lt;"&amp;DATE($B$11,10,1))</f>
        <v>0</v>
      </c>
      <c r="D22" s="16" t="n">
        <f aca="false">B22+C22</f>
        <v>0</v>
      </c>
    </row>
    <row r="23" customFormat="false" ht="15" hidden="false" customHeight="false" outlineLevel="0" collapsed="false">
      <c r="A23" s="15" t="n">
        <f aca="false">DATE($B$11,10,1)</f>
        <v>46296</v>
      </c>
      <c r="B23" s="16" t="n">
        <f aca="false">SUMIFS('Cash Book'!$D$5:$D$504,'Cash Book'!$A$5:$A$504,"&gt;="&amp;$A23,'Cash Book'!$A$5:$A$504,"&lt;"&amp;DATE($B$11,11,1))</f>
        <v>500</v>
      </c>
      <c r="C23" s="16" t="n">
        <f aca="false">SUMIFS('Cash Book'!$E$5:$E$504,'Cash Book'!$A$5:$A$504,"&gt;="&amp;$A23,'Cash Book'!$A$5:$A$504,"&lt;"&amp;DATE($B$11,11,1))</f>
        <v>-300</v>
      </c>
      <c r="D23" s="16" t="n">
        <f aca="false">B23+C23</f>
        <v>200</v>
      </c>
    </row>
    <row r="24" customFormat="false" ht="15" hidden="false" customHeight="false" outlineLevel="0" collapsed="false">
      <c r="A24" s="15" t="n">
        <f aca="false">DATE($B$11,11,1)</f>
        <v>46327</v>
      </c>
      <c r="B24" s="16" t="n">
        <f aca="false">SUMIFS('Cash Book'!$D$5:$D$504,'Cash Book'!$A$5:$A$504,"&gt;="&amp;$A24,'Cash Book'!$A$5:$A$504,"&lt;"&amp;DATE($B$11,12,1))</f>
        <v>0</v>
      </c>
      <c r="C24" s="16" t="n">
        <f aca="false">SUMIFS('Cash Book'!$E$5:$E$504,'Cash Book'!$A$5:$A$504,"&gt;="&amp;$A24,'Cash Book'!$A$5:$A$504,"&lt;"&amp;DATE($B$11,12,1))</f>
        <v>0</v>
      </c>
      <c r="D24" s="16" t="n">
        <f aca="false">B24+C24</f>
        <v>0</v>
      </c>
    </row>
    <row r="25" customFormat="false" ht="15" hidden="false" customHeight="false" outlineLevel="0" collapsed="false">
      <c r="A25" s="15" t="n">
        <f aca="false">DATE($B$11,12,1)</f>
        <v>46357</v>
      </c>
      <c r="B25" s="16" t="n">
        <f aca="false">SUMIFS('Cash Book'!$D$5:$D$504,'Cash Book'!$A$5:$A$504,"&gt;="&amp;$A25,'Cash Book'!$A$5:$A$504,"&lt;"&amp;DATE($B$11,13,1))</f>
        <v>0</v>
      </c>
      <c r="C25" s="16" t="n">
        <f aca="false">SUMIFS('Cash Book'!$E$5:$E$504,'Cash Book'!$A$5:$A$504,"&gt;="&amp;$A25,'Cash Book'!$A$5:$A$504,"&lt;"&amp;DATE($B$11,13,1))</f>
        <v>0</v>
      </c>
      <c r="D25" s="16" t="n">
        <f aca="false">B25+C25</f>
        <v>0</v>
      </c>
    </row>
    <row r="26" customFormat="false" ht="15" hidden="false" customHeight="false" outlineLevel="0" collapsed="false">
      <c r="A26" s="10" t="s">
        <v>39</v>
      </c>
      <c r="B26" s="17" t="n">
        <f aca="false">SUM(B14:B25)</f>
        <v>500</v>
      </c>
      <c r="C26" s="17" t="n">
        <f aca="false">SUM(C14:C25)</f>
        <v>-300</v>
      </c>
      <c r="D26" s="17" t="n">
        <f aca="false">SUM(D14:D25)</f>
        <v>200</v>
      </c>
    </row>
  </sheetData>
  <conditionalFormatting sqref="D14:D26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0" hidden="false" customHeight="true" outlineLevel="0" collapsed="false">
      <c r="A4" s="18" t="s">
        <v>42</v>
      </c>
      <c r="B4" s="18" t="s">
        <v>43</v>
      </c>
      <c r="C4" s="18" t="s">
        <v>44</v>
      </c>
      <c r="D4" s="18" t="s">
        <v>45</v>
      </c>
      <c r="E4" s="18" t="s">
        <v>46</v>
      </c>
      <c r="F4" s="18" t="s">
        <v>47</v>
      </c>
      <c r="G4" s="18" t="s">
        <v>48</v>
      </c>
    </row>
    <row r="5" customFormat="false" ht="15" hidden="false" customHeight="false" outlineLevel="0" collapsed="false">
      <c r="A5" s="19" t="n">
        <v>46296</v>
      </c>
      <c r="B5" s="5" t="s">
        <v>49</v>
      </c>
      <c r="C5" s="5" t="s">
        <v>16</v>
      </c>
      <c r="D5" s="4" t="n">
        <v>500</v>
      </c>
      <c r="E5" s="4"/>
      <c r="F5" s="20" t="n">
        <f aca="false">IF(AND(D5="",E5=""),"",'Start Here'!$B$4+SUM($D$5:D5)+SUM($E$5:E5))</f>
        <v>500</v>
      </c>
      <c r="G5" s="5" t="s">
        <v>50</v>
      </c>
    </row>
    <row r="6" customFormat="false" ht="15" hidden="false" customHeight="false" outlineLevel="0" collapsed="false">
      <c r="A6" s="19" t="n">
        <v>46297</v>
      </c>
      <c r="B6" s="5" t="s">
        <v>51</v>
      </c>
      <c r="C6" s="5" t="s">
        <v>18</v>
      </c>
      <c r="D6" s="4"/>
      <c r="E6" s="4" t="n">
        <v>-300</v>
      </c>
      <c r="F6" s="20" t="n">
        <f aca="false">IF(AND(D6="",E6=""),"",'Start Here'!$B$4+SUM($D$5:D6)+SUM($E$5:E6))</f>
        <v>200</v>
      </c>
      <c r="G6" s="5"/>
    </row>
    <row r="7" customFormat="false" ht="15" hidden="false" customHeight="false" outlineLevel="0" collapsed="false">
      <c r="A7" s="19"/>
      <c r="B7" s="5"/>
      <c r="C7" s="5"/>
      <c r="D7" s="4"/>
      <c r="E7" s="4"/>
      <c r="F7" s="20" t="str">
        <f aca="false">IF(AND(D7="",E7=""),"",'Start Here'!$B$4+SUM($D$5:D7)+SUM($E$5:E7))</f>
        <v/>
      </c>
      <c r="G7" s="5"/>
    </row>
    <row r="8" customFormat="false" ht="15" hidden="false" customHeight="false" outlineLevel="0" collapsed="false">
      <c r="A8" s="19"/>
      <c r="B8" s="5"/>
      <c r="C8" s="5"/>
      <c r="D8" s="4"/>
      <c r="E8" s="4"/>
      <c r="F8" s="20" t="str">
        <f aca="false">IF(AND(D8="",E8=""),"",'Start Here'!$B$4+SUM($D$5:D8)+SUM($E$5:E8))</f>
        <v/>
      </c>
      <c r="G8" s="5"/>
    </row>
    <row r="9" customFormat="false" ht="15" hidden="false" customHeight="false" outlineLevel="0" collapsed="false">
      <c r="A9" s="19"/>
      <c r="B9" s="5"/>
      <c r="C9" s="5"/>
      <c r="D9" s="4"/>
      <c r="E9" s="4"/>
      <c r="F9" s="20" t="str">
        <f aca="false">IF(AND(D9="",E9=""),"",'Start Here'!$B$4+SUM($D$5:D9)+SUM($E$5:E9))</f>
        <v/>
      </c>
      <c r="G9" s="5"/>
    </row>
    <row r="10" customFormat="false" ht="15" hidden="false" customHeight="false" outlineLevel="0" collapsed="false">
      <c r="A10" s="19"/>
      <c r="B10" s="5"/>
      <c r="C10" s="5"/>
      <c r="D10" s="4"/>
      <c r="E10" s="4"/>
      <c r="F10" s="20" t="str">
        <f aca="false">IF(AND(D10="",E10=""),"",'Start Here'!$B$4+SUM($D$5:D10)+SUM($E$5:E10))</f>
        <v/>
      </c>
      <c r="G10" s="5"/>
    </row>
    <row r="11" customFormat="false" ht="15" hidden="false" customHeight="false" outlineLevel="0" collapsed="false">
      <c r="A11" s="19"/>
      <c r="B11" s="5"/>
      <c r="C11" s="5"/>
      <c r="D11" s="4"/>
      <c r="E11" s="4"/>
      <c r="F11" s="20" t="str">
        <f aca="false">IF(AND(D11="",E11=""),"",'Start Here'!$B$4+SUM($D$5:D11)+SUM($E$5:E11))</f>
        <v/>
      </c>
      <c r="G11" s="5"/>
    </row>
    <row r="12" customFormat="false" ht="15" hidden="false" customHeight="false" outlineLevel="0" collapsed="false">
      <c r="A12" s="19"/>
      <c r="B12" s="5"/>
      <c r="C12" s="5"/>
      <c r="D12" s="4"/>
      <c r="E12" s="4"/>
      <c r="F12" s="20" t="str">
        <f aca="false">IF(AND(D12="",E12=""),"",'Start Here'!$B$4+SUM($D$5:D12)+SUM($E$5:E12))</f>
        <v/>
      </c>
      <c r="G12" s="5"/>
    </row>
    <row r="13" customFormat="false" ht="15" hidden="false" customHeight="false" outlineLevel="0" collapsed="false">
      <c r="A13" s="19"/>
      <c r="B13" s="5"/>
      <c r="C13" s="5"/>
      <c r="D13" s="4"/>
      <c r="E13" s="4"/>
      <c r="F13" s="20" t="str">
        <f aca="false">IF(AND(D13="",E13=""),"",'Start Here'!$B$4+SUM($D$5:D13)+SUM($E$5:E13))</f>
        <v/>
      </c>
      <c r="G13" s="5"/>
    </row>
    <row r="14" customFormat="false" ht="15" hidden="false" customHeight="false" outlineLevel="0" collapsed="false">
      <c r="A14" s="19"/>
      <c r="B14" s="5"/>
      <c r="C14" s="5"/>
      <c r="D14" s="4"/>
      <c r="E14" s="4"/>
      <c r="F14" s="20" t="str">
        <f aca="false">IF(AND(D14="",E14=""),"",'Start Here'!$B$4+SUM($D$5:D14)+SUM($E$5:E14))</f>
        <v/>
      </c>
      <c r="G14" s="5"/>
    </row>
    <row r="15" customFormat="false" ht="15" hidden="false" customHeight="false" outlineLevel="0" collapsed="false">
      <c r="A15" s="19"/>
      <c r="B15" s="5"/>
      <c r="C15" s="5"/>
      <c r="D15" s="4"/>
      <c r="E15" s="4"/>
      <c r="F15" s="20" t="str">
        <f aca="false">IF(AND(D15="",E15=""),"",'Start Here'!$B$4+SUM($D$5:D15)+SUM($E$5:E15))</f>
        <v/>
      </c>
      <c r="G15" s="5"/>
    </row>
    <row r="16" customFormat="false" ht="15" hidden="false" customHeight="false" outlineLevel="0" collapsed="false">
      <c r="A16" s="19"/>
      <c r="B16" s="5"/>
      <c r="C16" s="5"/>
      <c r="D16" s="4"/>
      <c r="E16" s="4"/>
      <c r="F16" s="20" t="str">
        <f aca="false">IF(AND(D16="",E16=""),"",'Start Here'!$B$4+SUM($D$5:D16)+SUM($E$5:E16))</f>
        <v/>
      </c>
      <c r="G16" s="5"/>
    </row>
    <row r="17" customFormat="false" ht="15" hidden="false" customHeight="false" outlineLevel="0" collapsed="false">
      <c r="A17" s="19"/>
      <c r="B17" s="5"/>
      <c r="C17" s="5"/>
      <c r="D17" s="4"/>
      <c r="E17" s="4"/>
      <c r="F17" s="20" t="str">
        <f aca="false">IF(AND(D17="",E17=""),"",'Start Here'!$B$4+SUM($D$5:D17)+SUM($E$5:E17))</f>
        <v/>
      </c>
      <c r="G17" s="5"/>
    </row>
    <row r="18" customFormat="false" ht="15" hidden="false" customHeight="false" outlineLevel="0" collapsed="false">
      <c r="A18" s="19"/>
      <c r="B18" s="5"/>
      <c r="C18" s="5"/>
      <c r="D18" s="4"/>
      <c r="E18" s="4"/>
      <c r="F18" s="20" t="str">
        <f aca="false">IF(AND(D18="",E18=""),"",'Start Here'!$B$4+SUM($D$5:D18)+SUM($E$5:E18))</f>
        <v/>
      </c>
      <c r="G18" s="5"/>
    </row>
    <row r="19" customFormat="false" ht="15" hidden="false" customHeight="false" outlineLevel="0" collapsed="false">
      <c r="A19" s="19"/>
      <c r="B19" s="5"/>
      <c r="C19" s="5"/>
      <c r="D19" s="4"/>
      <c r="E19" s="4"/>
      <c r="F19" s="20" t="str">
        <f aca="false">IF(AND(D19="",E19=""),"",'Start Here'!$B$4+SUM($D$5:D19)+SUM($E$5:E19))</f>
        <v/>
      </c>
      <c r="G19" s="5"/>
    </row>
    <row r="20" customFormat="false" ht="15" hidden="false" customHeight="false" outlineLevel="0" collapsed="false">
      <c r="A20" s="19"/>
      <c r="B20" s="5"/>
      <c r="C20" s="5"/>
      <c r="D20" s="4"/>
      <c r="E20" s="4"/>
      <c r="F20" s="20" t="str">
        <f aca="false">IF(AND(D20="",E20=""),"",'Start Here'!$B$4+SUM($D$5:D20)+SUM($E$5:E20))</f>
        <v/>
      </c>
      <c r="G20" s="5"/>
    </row>
    <row r="21" customFormat="false" ht="15" hidden="false" customHeight="false" outlineLevel="0" collapsed="false">
      <c r="A21" s="19"/>
      <c r="B21" s="5"/>
      <c r="C21" s="5"/>
      <c r="D21" s="4"/>
      <c r="E21" s="4"/>
      <c r="F21" s="20" t="str">
        <f aca="false">IF(AND(D21="",E21=""),"",'Start Here'!$B$4+SUM($D$5:D21)+SUM($E$5:E21))</f>
        <v/>
      </c>
      <c r="G21" s="5"/>
    </row>
    <row r="22" customFormat="false" ht="15" hidden="false" customHeight="false" outlineLevel="0" collapsed="false">
      <c r="A22" s="19"/>
      <c r="B22" s="5"/>
      <c r="C22" s="5"/>
      <c r="D22" s="4"/>
      <c r="E22" s="4"/>
      <c r="F22" s="20" t="str">
        <f aca="false">IF(AND(D22="",E22=""),"",'Start Here'!$B$4+SUM($D$5:D22)+SUM($E$5:E22))</f>
        <v/>
      </c>
      <c r="G22" s="5"/>
    </row>
    <row r="23" customFormat="false" ht="15" hidden="false" customHeight="false" outlineLevel="0" collapsed="false">
      <c r="A23" s="19"/>
      <c r="B23" s="5"/>
      <c r="C23" s="5"/>
      <c r="D23" s="4"/>
      <c r="E23" s="4"/>
      <c r="F23" s="20" t="str">
        <f aca="false">IF(AND(D23="",E23=""),"",'Start Here'!$B$4+SUM($D$5:D23)+SUM($E$5:E23))</f>
        <v/>
      </c>
      <c r="G23" s="5"/>
    </row>
    <row r="24" customFormat="false" ht="15" hidden="false" customHeight="false" outlineLevel="0" collapsed="false">
      <c r="A24" s="19"/>
      <c r="B24" s="5"/>
      <c r="C24" s="5"/>
      <c r="D24" s="4"/>
      <c r="E24" s="4"/>
      <c r="F24" s="20" t="str">
        <f aca="false">IF(AND(D24="",E24=""),"",'Start Here'!$B$4+SUM($D$5:D24)+SUM($E$5:E24))</f>
        <v/>
      </c>
      <c r="G24" s="5"/>
    </row>
    <row r="25" customFormat="false" ht="15" hidden="false" customHeight="false" outlineLevel="0" collapsed="false">
      <c r="A25" s="19"/>
      <c r="B25" s="5"/>
      <c r="C25" s="5"/>
      <c r="D25" s="4"/>
      <c r="E25" s="4"/>
      <c r="F25" s="20" t="str">
        <f aca="false">IF(AND(D25="",E25=""),"",'Start Here'!$B$4+SUM($D$5:D25)+SUM($E$5:E25))</f>
        <v/>
      </c>
      <c r="G25" s="5"/>
    </row>
    <row r="26" customFormat="false" ht="15" hidden="false" customHeight="false" outlineLevel="0" collapsed="false">
      <c r="A26" s="19"/>
      <c r="B26" s="5"/>
      <c r="C26" s="5"/>
      <c r="D26" s="4"/>
      <c r="E26" s="4"/>
      <c r="F26" s="20" t="str">
        <f aca="false">IF(AND(D26="",E26=""),"",'Start Here'!$B$4+SUM($D$5:D26)+SUM($E$5:E26))</f>
        <v/>
      </c>
      <c r="G26" s="5"/>
    </row>
    <row r="27" customFormat="false" ht="15" hidden="false" customHeight="false" outlineLevel="0" collapsed="false">
      <c r="A27" s="19"/>
      <c r="B27" s="5"/>
      <c r="C27" s="5"/>
      <c r="D27" s="4"/>
      <c r="E27" s="4"/>
      <c r="F27" s="20" t="str">
        <f aca="false">IF(AND(D27="",E27=""),"",'Start Here'!$B$4+SUM($D$5:D27)+SUM($E$5:E27))</f>
        <v/>
      </c>
      <c r="G27" s="5"/>
    </row>
    <row r="28" customFormat="false" ht="15" hidden="false" customHeight="false" outlineLevel="0" collapsed="false">
      <c r="A28" s="19"/>
      <c r="B28" s="5"/>
      <c r="C28" s="5"/>
      <c r="D28" s="4"/>
      <c r="E28" s="4"/>
      <c r="F28" s="20" t="str">
        <f aca="false">IF(AND(D28="",E28=""),"",'Start Here'!$B$4+SUM($D$5:D28)+SUM($E$5:E28))</f>
        <v/>
      </c>
      <c r="G28" s="5"/>
    </row>
    <row r="29" customFormat="false" ht="15" hidden="false" customHeight="false" outlineLevel="0" collapsed="false">
      <c r="A29" s="19"/>
      <c r="B29" s="5"/>
      <c r="C29" s="5"/>
      <c r="D29" s="4"/>
      <c r="E29" s="4"/>
      <c r="F29" s="20" t="str">
        <f aca="false">IF(AND(D29="",E29=""),"",'Start Here'!$B$4+SUM($D$5:D29)+SUM($E$5:E29))</f>
        <v/>
      </c>
      <c r="G29" s="5"/>
    </row>
    <row r="30" customFormat="false" ht="15" hidden="false" customHeight="false" outlineLevel="0" collapsed="false">
      <c r="A30" s="19"/>
      <c r="B30" s="5"/>
      <c r="C30" s="5"/>
      <c r="D30" s="4"/>
      <c r="E30" s="4"/>
      <c r="F30" s="20" t="str">
        <f aca="false">IF(AND(D30="",E30=""),"",'Start Here'!$B$4+SUM($D$5:D30)+SUM($E$5:E30))</f>
        <v/>
      </c>
      <c r="G30" s="5"/>
    </row>
    <row r="31" customFormat="false" ht="15" hidden="false" customHeight="false" outlineLevel="0" collapsed="false">
      <c r="A31" s="19"/>
      <c r="B31" s="5"/>
      <c r="C31" s="5"/>
      <c r="D31" s="4"/>
      <c r="E31" s="4"/>
      <c r="F31" s="20" t="str">
        <f aca="false">IF(AND(D31="",E31=""),"",'Start Here'!$B$4+SUM($D$5:D31)+SUM($E$5:E31))</f>
        <v/>
      </c>
      <c r="G31" s="5"/>
    </row>
    <row r="32" customFormat="false" ht="15" hidden="false" customHeight="false" outlineLevel="0" collapsed="false">
      <c r="A32" s="19"/>
      <c r="B32" s="5"/>
      <c r="C32" s="5"/>
      <c r="D32" s="4"/>
      <c r="E32" s="4"/>
      <c r="F32" s="20" t="str">
        <f aca="false">IF(AND(D32="",E32=""),"",'Start Here'!$B$4+SUM($D$5:D32)+SUM($E$5:E32))</f>
        <v/>
      </c>
      <c r="G32" s="5"/>
    </row>
    <row r="33" customFormat="false" ht="15" hidden="false" customHeight="false" outlineLevel="0" collapsed="false">
      <c r="A33" s="19"/>
      <c r="B33" s="5"/>
      <c r="C33" s="5"/>
      <c r="D33" s="4"/>
      <c r="E33" s="4"/>
      <c r="F33" s="20" t="str">
        <f aca="false">IF(AND(D33="",E33=""),"",'Start Here'!$B$4+SUM($D$5:D33)+SUM($E$5:E33))</f>
        <v/>
      </c>
      <c r="G33" s="5"/>
    </row>
    <row r="34" customFormat="false" ht="15" hidden="false" customHeight="false" outlineLevel="0" collapsed="false">
      <c r="A34" s="19"/>
      <c r="B34" s="5"/>
      <c r="C34" s="5"/>
      <c r="D34" s="4"/>
      <c r="E34" s="4"/>
      <c r="F34" s="20" t="str">
        <f aca="false">IF(AND(D34="",E34=""),"",'Start Here'!$B$4+SUM($D$5:D34)+SUM($E$5:E34))</f>
        <v/>
      </c>
      <c r="G34" s="5"/>
    </row>
    <row r="35" customFormat="false" ht="15" hidden="false" customHeight="false" outlineLevel="0" collapsed="false">
      <c r="A35" s="19"/>
      <c r="B35" s="5"/>
      <c r="C35" s="5"/>
      <c r="D35" s="4"/>
      <c r="E35" s="4"/>
      <c r="F35" s="20" t="str">
        <f aca="false">IF(AND(D35="",E35=""),"",'Start Here'!$B$4+SUM($D$5:D35)+SUM($E$5:E35))</f>
        <v/>
      </c>
      <c r="G35" s="5"/>
    </row>
    <row r="36" customFormat="false" ht="15" hidden="false" customHeight="false" outlineLevel="0" collapsed="false">
      <c r="A36" s="19"/>
      <c r="B36" s="5"/>
      <c r="C36" s="5"/>
      <c r="D36" s="4"/>
      <c r="E36" s="4"/>
      <c r="F36" s="20" t="str">
        <f aca="false">IF(AND(D36="",E36=""),"",'Start Here'!$B$4+SUM($D$5:D36)+SUM($E$5:E36))</f>
        <v/>
      </c>
      <c r="G36" s="5"/>
    </row>
    <row r="37" customFormat="false" ht="15" hidden="false" customHeight="false" outlineLevel="0" collapsed="false">
      <c r="A37" s="19"/>
      <c r="B37" s="5"/>
      <c r="C37" s="5"/>
      <c r="D37" s="4"/>
      <c r="E37" s="4"/>
      <c r="F37" s="20" t="str">
        <f aca="false">IF(AND(D37="",E37=""),"",'Start Here'!$B$4+SUM($D$5:D37)+SUM($E$5:E37))</f>
        <v/>
      </c>
      <c r="G37" s="5"/>
    </row>
    <row r="38" customFormat="false" ht="15" hidden="false" customHeight="false" outlineLevel="0" collapsed="false">
      <c r="A38" s="19"/>
      <c r="B38" s="5"/>
      <c r="C38" s="5"/>
      <c r="D38" s="4"/>
      <c r="E38" s="4"/>
      <c r="F38" s="20" t="str">
        <f aca="false">IF(AND(D38="",E38=""),"",'Start Here'!$B$4+SUM($D$5:D38)+SUM($E$5:E38))</f>
        <v/>
      </c>
      <c r="G38" s="5"/>
    </row>
    <row r="39" customFormat="false" ht="15" hidden="false" customHeight="false" outlineLevel="0" collapsed="false">
      <c r="A39" s="19"/>
      <c r="B39" s="5"/>
      <c r="C39" s="5"/>
      <c r="D39" s="4"/>
      <c r="E39" s="4"/>
      <c r="F39" s="20" t="str">
        <f aca="false">IF(AND(D39="",E39=""),"",'Start Here'!$B$4+SUM($D$5:D39)+SUM($E$5:E39))</f>
        <v/>
      </c>
      <c r="G39" s="5"/>
    </row>
    <row r="40" customFormat="false" ht="15" hidden="false" customHeight="false" outlineLevel="0" collapsed="false">
      <c r="A40" s="19"/>
      <c r="B40" s="5"/>
      <c r="C40" s="5"/>
      <c r="D40" s="4"/>
      <c r="E40" s="4"/>
      <c r="F40" s="20" t="str">
        <f aca="false">IF(AND(D40="",E40=""),"",'Start Here'!$B$4+SUM($D$5:D40)+SUM($E$5:E40))</f>
        <v/>
      </c>
      <c r="G40" s="5"/>
    </row>
    <row r="41" customFormat="false" ht="15" hidden="false" customHeight="false" outlineLevel="0" collapsed="false">
      <c r="A41" s="19"/>
      <c r="B41" s="5"/>
      <c r="C41" s="5"/>
      <c r="D41" s="4"/>
      <c r="E41" s="4"/>
      <c r="F41" s="20" t="str">
        <f aca="false">IF(AND(D41="",E41=""),"",'Start Here'!$B$4+SUM($D$5:D41)+SUM($E$5:E41))</f>
        <v/>
      </c>
      <c r="G41" s="5"/>
    </row>
    <row r="42" customFormat="false" ht="15" hidden="false" customHeight="false" outlineLevel="0" collapsed="false">
      <c r="A42" s="19"/>
      <c r="B42" s="5"/>
      <c r="C42" s="5"/>
      <c r="D42" s="4"/>
      <c r="E42" s="4"/>
      <c r="F42" s="20" t="str">
        <f aca="false">IF(AND(D42="",E42=""),"",'Start Here'!$B$4+SUM($D$5:D42)+SUM($E$5:E42))</f>
        <v/>
      </c>
      <c r="G42" s="5"/>
    </row>
    <row r="43" customFormat="false" ht="15" hidden="false" customHeight="false" outlineLevel="0" collapsed="false">
      <c r="A43" s="19"/>
      <c r="B43" s="5"/>
      <c r="C43" s="5"/>
      <c r="D43" s="4"/>
      <c r="E43" s="4"/>
      <c r="F43" s="20" t="str">
        <f aca="false">IF(AND(D43="",E43=""),"",'Start Here'!$B$4+SUM($D$5:D43)+SUM($E$5:E43))</f>
        <v/>
      </c>
      <c r="G43" s="5"/>
    </row>
    <row r="44" customFormat="false" ht="15" hidden="false" customHeight="false" outlineLevel="0" collapsed="false">
      <c r="A44" s="19"/>
      <c r="B44" s="5"/>
      <c r="C44" s="5"/>
      <c r="D44" s="4"/>
      <c r="E44" s="4"/>
      <c r="F44" s="20" t="str">
        <f aca="false">IF(AND(D44="",E44=""),"",'Start Here'!$B$4+SUM($D$5:D44)+SUM($E$5:E44))</f>
        <v/>
      </c>
      <c r="G44" s="5"/>
    </row>
    <row r="45" customFormat="false" ht="15" hidden="false" customHeight="false" outlineLevel="0" collapsed="false">
      <c r="A45" s="19"/>
      <c r="B45" s="5"/>
      <c r="C45" s="5"/>
      <c r="D45" s="4"/>
      <c r="E45" s="4"/>
      <c r="F45" s="20" t="str">
        <f aca="false">IF(AND(D45="",E45=""),"",'Start Here'!$B$4+SUM($D$5:D45)+SUM($E$5:E45))</f>
        <v/>
      </c>
      <c r="G45" s="5"/>
    </row>
    <row r="46" customFormat="false" ht="15" hidden="false" customHeight="false" outlineLevel="0" collapsed="false">
      <c r="A46" s="19"/>
      <c r="B46" s="5"/>
      <c r="C46" s="5"/>
      <c r="D46" s="4"/>
      <c r="E46" s="4"/>
      <c r="F46" s="20" t="str">
        <f aca="false">IF(AND(D46="",E46=""),"",'Start Here'!$B$4+SUM($D$5:D46)+SUM($E$5:E46))</f>
        <v/>
      </c>
      <c r="G46" s="5"/>
    </row>
    <row r="47" customFormat="false" ht="15" hidden="false" customHeight="false" outlineLevel="0" collapsed="false">
      <c r="A47" s="19"/>
      <c r="B47" s="5"/>
      <c r="C47" s="5"/>
      <c r="D47" s="4"/>
      <c r="E47" s="4"/>
      <c r="F47" s="20" t="str">
        <f aca="false">IF(AND(D47="",E47=""),"",'Start Here'!$B$4+SUM($D$5:D47)+SUM($E$5:E47))</f>
        <v/>
      </c>
      <c r="G47" s="5"/>
    </row>
    <row r="48" customFormat="false" ht="15" hidden="false" customHeight="false" outlineLevel="0" collapsed="false">
      <c r="A48" s="19"/>
      <c r="B48" s="5"/>
      <c r="C48" s="5"/>
      <c r="D48" s="4"/>
      <c r="E48" s="4"/>
      <c r="F48" s="20" t="str">
        <f aca="false">IF(AND(D48="",E48=""),"",'Start Here'!$B$4+SUM($D$5:D48)+SUM($E$5:E48))</f>
        <v/>
      </c>
      <c r="G48" s="5"/>
    </row>
    <row r="49" customFormat="false" ht="15" hidden="false" customHeight="false" outlineLevel="0" collapsed="false">
      <c r="A49" s="19"/>
      <c r="B49" s="5"/>
      <c r="C49" s="5"/>
      <c r="D49" s="4"/>
      <c r="E49" s="4"/>
      <c r="F49" s="20" t="str">
        <f aca="false">IF(AND(D49="",E49=""),"",'Start Here'!$B$4+SUM($D$5:D49)+SUM($E$5:E49))</f>
        <v/>
      </c>
      <c r="G49" s="5"/>
    </row>
    <row r="50" customFormat="false" ht="15" hidden="false" customHeight="false" outlineLevel="0" collapsed="false">
      <c r="A50" s="19"/>
      <c r="B50" s="5"/>
      <c r="C50" s="5"/>
      <c r="D50" s="4"/>
      <c r="E50" s="4"/>
      <c r="F50" s="20" t="str">
        <f aca="false">IF(AND(D50="",E50=""),"",'Start Here'!$B$4+SUM($D$5:D50)+SUM($E$5:E50))</f>
        <v/>
      </c>
      <c r="G50" s="5"/>
    </row>
    <row r="51" customFormat="false" ht="15" hidden="false" customHeight="false" outlineLevel="0" collapsed="false">
      <c r="A51" s="19"/>
      <c r="B51" s="5"/>
      <c r="C51" s="5"/>
      <c r="D51" s="4"/>
      <c r="E51" s="4"/>
      <c r="F51" s="20" t="str">
        <f aca="false">IF(AND(D51="",E51=""),"",'Start Here'!$B$4+SUM($D$5:D51)+SUM($E$5:E51))</f>
        <v/>
      </c>
      <c r="G51" s="5"/>
    </row>
    <row r="52" customFormat="false" ht="15" hidden="false" customHeight="false" outlineLevel="0" collapsed="false">
      <c r="A52" s="19"/>
      <c r="B52" s="5"/>
      <c r="C52" s="5"/>
      <c r="D52" s="4"/>
      <c r="E52" s="4"/>
      <c r="F52" s="20" t="str">
        <f aca="false">IF(AND(D52="",E52=""),"",'Start Here'!$B$4+SUM($D$5:D52)+SUM($E$5:E52))</f>
        <v/>
      </c>
      <c r="G52" s="5"/>
    </row>
    <row r="53" customFormat="false" ht="15" hidden="false" customHeight="false" outlineLevel="0" collapsed="false">
      <c r="A53" s="19"/>
      <c r="B53" s="5"/>
      <c r="C53" s="5"/>
      <c r="D53" s="4"/>
      <c r="E53" s="4"/>
      <c r="F53" s="20" t="str">
        <f aca="false">IF(AND(D53="",E53=""),"",'Start Here'!$B$4+SUM($D$5:D53)+SUM($E$5:E53))</f>
        <v/>
      </c>
      <c r="G53" s="5"/>
    </row>
    <row r="54" customFormat="false" ht="15" hidden="false" customHeight="false" outlineLevel="0" collapsed="false">
      <c r="A54" s="19"/>
      <c r="B54" s="5"/>
      <c r="C54" s="5"/>
      <c r="D54" s="4"/>
      <c r="E54" s="4"/>
      <c r="F54" s="20" t="str">
        <f aca="false">IF(AND(D54="",E54=""),"",'Start Here'!$B$4+SUM($D$5:D54)+SUM($E$5:E54))</f>
        <v/>
      </c>
      <c r="G54" s="5"/>
    </row>
    <row r="55" customFormat="false" ht="15" hidden="false" customHeight="false" outlineLevel="0" collapsed="false">
      <c r="A55" s="19"/>
      <c r="B55" s="5"/>
      <c r="C55" s="5"/>
      <c r="D55" s="4"/>
      <c r="E55" s="4"/>
      <c r="F55" s="20" t="str">
        <f aca="false">IF(AND(D55="",E55=""),"",'Start Here'!$B$4+SUM($D$5:D55)+SUM($E$5:E55))</f>
        <v/>
      </c>
      <c r="G55" s="5"/>
    </row>
    <row r="56" customFormat="false" ht="15" hidden="false" customHeight="false" outlineLevel="0" collapsed="false">
      <c r="A56" s="19"/>
      <c r="B56" s="5"/>
      <c r="C56" s="5"/>
      <c r="D56" s="4"/>
      <c r="E56" s="4"/>
      <c r="F56" s="20" t="str">
        <f aca="false">IF(AND(D56="",E56=""),"",'Start Here'!$B$4+SUM($D$5:D56)+SUM($E$5:E56))</f>
        <v/>
      </c>
      <c r="G56" s="5"/>
    </row>
    <row r="57" customFormat="false" ht="15" hidden="false" customHeight="false" outlineLevel="0" collapsed="false">
      <c r="A57" s="19"/>
      <c r="B57" s="5"/>
      <c r="C57" s="5"/>
      <c r="D57" s="4"/>
      <c r="E57" s="4"/>
      <c r="F57" s="20" t="str">
        <f aca="false">IF(AND(D57="",E57=""),"",'Start Here'!$B$4+SUM($D$5:D57)+SUM($E$5:E57))</f>
        <v/>
      </c>
      <c r="G57" s="5"/>
    </row>
    <row r="58" customFormat="false" ht="15" hidden="false" customHeight="false" outlineLevel="0" collapsed="false">
      <c r="A58" s="19"/>
      <c r="B58" s="5"/>
      <c r="C58" s="5"/>
      <c r="D58" s="4"/>
      <c r="E58" s="4"/>
      <c r="F58" s="20" t="str">
        <f aca="false">IF(AND(D58="",E58=""),"",'Start Here'!$B$4+SUM($D$5:D58)+SUM($E$5:E58))</f>
        <v/>
      </c>
      <c r="G58" s="5"/>
    </row>
    <row r="59" customFormat="false" ht="15" hidden="false" customHeight="false" outlineLevel="0" collapsed="false">
      <c r="A59" s="19"/>
      <c r="B59" s="5"/>
      <c r="C59" s="5"/>
      <c r="D59" s="4"/>
      <c r="E59" s="4"/>
      <c r="F59" s="20" t="str">
        <f aca="false">IF(AND(D59="",E59=""),"",'Start Here'!$B$4+SUM($D$5:D59)+SUM($E$5:E59))</f>
        <v/>
      </c>
      <c r="G59" s="5"/>
    </row>
    <row r="60" customFormat="false" ht="15" hidden="false" customHeight="false" outlineLevel="0" collapsed="false">
      <c r="A60" s="19"/>
      <c r="B60" s="5"/>
      <c r="C60" s="5"/>
      <c r="D60" s="4"/>
      <c r="E60" s="4"/>
      <c r="F60" s="20" t="str">
        <f aca="false">IF(AND(D60="",E60=""),"",'Start Here'!$B$4+SUM($D$5:D60)+SUM($E$5:E60))</f>
        <v/>
      </c>
      <c r="G60" s="5"/>
    </row>
    <row r="61" customFormat="false" ht="15" hidden="false" customHeight="false" outlineLevel="0" collapsed="false">
      <c r="A61" s="19"/>
      <c r="B61" s="5"/>
      <c r="C61" s="5"/>
      <c r="D61" s="4"/>
      <c r="E61" s="4"/>
      <c r="F61" s="20" t="str">
        <f aca="false">IF(AND(D61="",E61=""),"",'Start Here'!$B$4+SUM($D$5:D61)+SUM($E$5:E61))</f>
        <v/>
      </c>
      <c r="G61" s="5"/>
    </row>
    <row r="62" customFormat="false" ht="15" hidden="false" customHeight="false" outlineLevel="0" collapsed="false">
      <c r="A62" s="19"/>
      <c r="B62" s="5"/>
      <c r="C62" s="5"/>
      <c r="D62" s="4"/>
      <c r="E62" s="4"/>
      <c r="F62" s="20" t="str">
        <f aca="false">IF(AND(D62="",E62=""),"",'Start Here'!$B$4+SUM($D$5:D62)+SUM($E$5:E62))</f>
        <v/>
      </c>
      <c r="G62" s="5"/>
    </row>
    <row r="63" customFormat="false" ht="15" hidden="false" customHeight="false" outlineLevel="0" collapsed="false">
      <c r="A63" s="19"/>
      <c r="B63" s="5"/>
      <c r="C63" s="5"/>
      <c r="D63" s="4"/>
      <c r="E63" s="4"/>
      <c r="F63" s="20" t="str">
        <f aca="false">IF(AND(D63="",E63=""),"",'Start Here'!$B$4+SUM($D$5:D63)+SUM($E$5:E63))</f>
        <v/>
      </c>
      <c r="G63" s="5"/>
    </row>
    <row r="64" customFormat="false" ht="15" hidden="false" customHeight="false" outlineLevel="0" collapsed="false">
      <c r="A64" s="19"/>
      <c r="B64" s="5"/>
      <c r="C64" s="5"/>
      <c r="D64" s="4"/>
      <c r="E64" s="4"/>
      <c r="F64" s="20" t="str">
        <f aca="false">IF(AND(D64="",E64=""),"",'Start Here'!$B$4+SUM($D$5:D64)+SUM($E$5:E64))</f>
        <v/>
      </c>
      <c r="G64" s="5"/>
    </row>
    <row r="65" customFormat="false" ht="15" hidden="false" customHeight="false" outlineLevel="0" collapsed="false">
      <c r="A65" s="19"/>
      <c r="B65" s="5"/>
      <c r="C65" s="5"/>
      <c r="D65" s="4"/>
      <c r="E65" s="4"/>
      <c r="F65" s="20" t="str">
        <f aca="false">IF(AND(D65="",E65=""),"",'Start Here'!$B$4+SUM($D$5:D65)+SUM($E$5:E65))</f>
        <v/>
      </c>
      <c r="G65" s="5"/>
    </row>
    <row r="66" customFormat="false" ht="15" hidden="false" customHeight="false" outlineLevel="0" collapsed="false">
      <c r="A66" s="19"/>
      <c r="B66" s="5"/>
      <c r="C66" s="5"/>
      <c r="D66" s="4"/>
      <c r="E66" s="4"/>
      <c r="F66" s="20" t="str">
        <f aca="false">IF(AND(D66="",E66=""),"",'Start Here'!$B$4+SUM($D$5:D66)+SUM($E$5:E66))</f>
        <v/>
      </c>
      <c r="G66" s="5"/>
    </row>
    <row r="67" customFormat="false" ht="15" hidden="false" customHeight="false" outlineLevel="0" collapsed="false">
      <c r="A67" s="19"/>
      <c r="B67" s="5"/>
      <c r="C67" s="5"/>
      <c r="D67" s="4"/>
      <c r="E67" s="4"/>
      <c r="F67" s="20" t="str">
        <f aca="false">IF(AND(D67="",E67=""),"",'Start Here'!$B$4+SUM($D$5:D67)+SUM($E$5:E67))</f>
        <v/>
      </c>
      <c r="G67" s="5"/>
    </row>
    <row r="68" customFormat="false" ht="15" hidden="false" customHeight="false" outlineLevel="0" collapsed="false">
      <c r="A68" s="19"/>
      <c r="B68" s="5"/>
      <c r="C68" s="5"/>
      <c r="D68" s="4"/>
      <c r="E68" s="4"/>
      <c r="F68" s="20" t="str">
        <f aca="false">IF(AND(D68="",E68=""),"",'Start Here'!$B$4+SUM($D$5:D68)+SUM($E$5:E68))</f>
        <v/>
      </c>
      <c r="G68" s="5"/>
    </row>
    <row r="69" customFormat="false" ht="15" hidden="false" customHeight="false" outlineLevel="0" collapsed="false">
      <c r="A69" s="19"/>
      <c r="B69" s="5"/>
      <c r="C69" s="5"/>
      <c r="D69" s="4"/>
      <c r="E69" s="4"/>
      <c r="F69" s="20" t="str">
        <f aca="false">IF(AND(D69="",E69=""),"",'Start Here'!$B$4+SUM($D$5:D69)+SUM($E$5:E69))</f>
        <v/>
      </c>
      <c r="G69" s="5"/>
    </row>
    <row r="70" customFormat="false" ht="15" hidden="false" customHeight="false" outlineLevel="0" collapsed="false">
      <c r="A70" s="19"/>
      <c r="B70" s="5"/>
      <c r="C70" s="5"/>
      <c r="D70" s="4"/>
      <c r="E70" s="4"/>
      <c r="F70" s="20" t="str">
        <f aca="false">IF(AND(D70="",E70=""),"",'Start Here'!$B$4+SUM($D$5:D70)+SUM($E$5:E70))</f>
        <v/>
      </c>
      <c r="G70" s="5"/>
    </row>
    <row r="71" customFormat="false" ht="15" hidden="false" customHeight="false" outlineLevel="0" collapsed="false">
      <c r="A71" s="19"/>
      <c r="B71" s="5"/>
      <c r="C71" s="5"/>
      <c r="D71" s="4"/>
      <c r="E71" s="4"/>
      <c r="F71" s="20" t="str">
        <f aca="false">IF(AND(D71="",E71=""),"",'Start Here'!$B$4+SUM($D$5:D71)+SUM($E$5:E71))</f>
        <v/>
      </c>
      <c r="G71" s="5"/>
    </row>
    <row r="72" customFormat="false" ht="15" hidden="false" customHeight="false" outlineLevel="0" collapsed="false">
      <c r="A72" s="19"/>
      <c r="B72" s="5"/>
      <c r="C72" s="5"/>
      <c r="D72" s="4"/>
      <c r="E72" s="4"/>
      <c r="F72" s="20" t="str">
        <f aca="false">IF(AND(D72="",E72=""),"",'Start Here'!$B$4+SUM($D$5:D72)+SUM($E$5:E72))</f>
        <v/>
      </c>
      <c r="G72" s="5"/>
    </row>
    <row r="73" customFormat="false" ht="15" hidden="false" customHeight="false" outlineLevel="0" collapsed="false">
      <c r="A73" s="19"/>
      <c r="B73" s="5"/>
      <c r="C73" s="5"/>
      <c r="D73" s="4"/>
      <c r="E73" s="4"/>
      <c r="F73" s="20" t="str">
        <f aca="false">IF(AND(D73="",E73=""),"",'Start Here'!$B$4+SUM($D$5:D73)+SUM($E$5:E73))</f>
        <v/>
      </c>
      <c r="G73" s="5"/>
    </row>
    <row r="74" customFormat="false" ht="15" hidden="false" customHeight="false" outlineLevel="0" collapsed="false">
      <c r="A74" s="19"/>
      <c r="B74" s="5"/>
      <c r="C74" s="5"/>
      <c r="D74" s="4"/>
      <c r="E74" s="4"/>
      <c r="F74" s="20" t="str">
        <f aca="false">IF(AND(D74="",E74=""),"",'Start Here'!$B$4+SUM($D$5:D74)+SUM($E$5:E74))</f>
        <v/>
      </c>
      <c r="G74" s="5"/>
    </row>
    <row r="75" customFormat="false" ht="15" hidden="false" customHeight="false" outlineLevel="0" collapsed="false">
      <c r="A75" s="19"/>
      <c r="B75" s="5"/>
      <c r="C75" s="5"/>
      <c r="D75" s="4"/>
      <c r="E75" s="4"/>
      <c r="F75" s="20" t="str">
        <f aca="false">IF(AND(D75="",E75=""),"",'Start Here'!$B$4+SUM($D$5:D75)+SUM($E$5:E75))</f>
        <v/>
      </c>
      <c r="G75" s="5"/>
    </row>
    <row r="76" customFormat="false" ht="15" hidden="false" customHeight="false" outlineLevel="0" collapsed="false">
      <c r="A76" s="19"/>
      <c r="B76" s="5"/>
      <c r="C76" s="5"/>
      <c r="D76" s="4"/>
      <c r="E76" s="4"/>
      <c r="F76" s="20" t="str">
        <f aca="false">IF(AND(D76="",E76=""),"",'Start Here'!$B$4+SUM($D$5:D76)+SUM($E$5:E76))</f>
        <v/>
      </c>
      <c r="G76" s="5"/>
    </row>
    <row r="77" customFormat="false" ht="15" hidden="false" customHeight="false" outlineLevel="0" collapsed="false">
      <c r="A77" s="19"/>
      <c r="B77" s="5"/>
      <c r="C77" s="5"/>
      <c r="D77" s="4"/>
      <c r="E77" s="4"/>
      <c r="F77" s="20" t="str">
        <f aca="false">IF(AND(D77="",E77=""),"",'Start Here'!$B$4+SUM($D$5:D77)+SUM($E$5:E77))</f>
        <v/>
      </c>
      <c r="G77" s="5"/>
    </row>
    <row r="78" customFormat="false" ht="15" hidden="false" customHeight="false" outlineLevel="0" collapsed="false">
      <c r="A78" s="19"/>
      <c r="B78" s="5"/>
      <c r="C78" s="5"/>
      <c r="D78" s="4"/>
      <c r="E78" s="4"/>
      <c r="F78" s="20" t="str">
        <f aca="false">IF(AND(D78="",E78=""),"",'Start Here'!$B$4+SUM($D$5:D78)+SUM($E$5:E78))</f>
        <v/>
      </c>
      <c r="G78" s="5"/>
    </row>
    <row r="79" customFormat="false" ht="15" hidden="false" customHeight="false" outlineLevel="0" collapsed="false">
      <c r="A79" s="19"/>
      <c r="B79" s="5"/>
      <c r="C79" s="5"/>
      <c r="D79" s="4"/>
      <c r="E79" s="4"/>
      <c r="F79" s="20" t="str">
        <f aca="false">IF(AND(D79="",E79=""),"",'Start Here'!$B$4+SUM($D$5:D79)+SUM($E$5:E79))</f>
        <v/>
      </c>
      <c r="G79" s="5"/>
    </row>
    <row r="80" customFormat="false" ht="15" hidden="false" customHeight="false" outlineLevel="0" collapsed="false">
      <c r="A80" s="19"/>
      <c r="B80" s="5"/>
      <c r="C80" s="5"/>
      <c r="D80" s="4"/>
      <c r="E80" s="4"/>
      <c r="F80" s="20" t="str">
        <f aca="false">IF(AND(D80="",E80=""),"",'Start Here'!$B$4+SUM($D$5:D80)+SUM($E$5:E80))</f>
        <v/>
      </c>
      <c r="G80" s="5"/>
    </row>
    <row r="81" customFormat="false" ht="15" hidden="false" customHeight="false" outlineLevel="0" collapsed="false">
      <c r="A81" s="19"/>
      <c r="B81" s="5"/>
      <c r="C81" s="5"/>
      <c r="D81" s="4"/>
      <c r="E81" s="4"/>
      <c r="F81" s="20" t="str">
        <f aca="false">IF(AND(D81="",E81=""),"",'Start Here'!$B$4+SUM($D$5:D81)+SUM($E$5:E81))</f>
        <v/>
      </c>
      <c r="G81" s="5"/>
    </row>
    <row r="82" customFormat="false" ht="15" hidden="false" customHeight="false" outlineLevel="0" collapsed="false">
      <c r="A82" s="19"/>
      <c r="B82" s="5"/>
      <c r="C82" s="5"/>
      <c r="D82" s="4"/>
      <c r="E82" s="4"/>
      <c r="F82" s="20" t="str">
        <f aca="false">IF(AND(D82="",E82=""),"",'Start Here'!$B$4+SUM($D$5:D82)+SUM($E$5:E82))</f>
        <v/>
      </c>
      <c r="G82" s="5"/>
    </row>
    <row r="83" customFormat="false" ht="15" hidden="false" customHeight="false" outlineLevel="0" collapsed="false">
      <c r="A83" s="19"/>
      <c r="B83" s="5"/>
      <c r="C83" s="5"/>
      <c r="D83" s="4"/>
      <c r="E83" s="4"/>
      <c r="F83" s="20" t="str">
        <f aca="false">IF(AND(D83="",E83=""),"",'Start Here'!$B$4+SUM($D$5:D83)+SUM($E$5:E83))</f>
        <v/>
      </c>
      <c r="G83" s="5"/>
    </row>
    <row r="84" customFormat="false" ht="15" hidden="false" customHeight="false" outlineLevel="0" collapsed="false">
      <c r="A84" s="19"/>
      <c r="B84" s="5"/>
      <c r="C84" s="5"/>
      <c r="D84" s="4"/>
      <c r="E84" s="4"/>
      <c r="F84" s="20" t="str">
        <f aca="false">IF(AND(D84="",E84=""),"",'Start Here'!$B$4+SUM($D$5:D84)+SUM($E$5:E84))</f>
        <v/>
      </c>
      <c r="G84" s="5"/>
    </row>
    <row r="85" customFormat="false" ht="15" hidden="false" customHeight="false" outlineLevel="0" collapsed="false">
      <c r="A85" s="19"/>
      <c r="B85" s="5"/>
      <c r="C85" s="5"/>
      <c r="D85" s="4"/>
      <c r="E85" s="4"/>
      <c r="F85" s="20" t="str">
        <f aca="false">IF(AND(D85="",E85=""),"",'Start Here'!$B$4+SUM($D$5:D85)+SUM($E$5:E85))</f>
        <v/>
      </c>
      <c r="G85" s="5"/>
    </row>
    <row r="86" customFormat="false" ht="15" hidden="false" customHeight="false" outlineLevel="0" collapsed="false">
      <c r="A86" s="19"/>
      <c r="B86" s="5"/>
      <c r="C86" s="5"/>
      <c r="D86" s="4"/>
      <c r="E86" s="4"/>
      <c r="F86" s="20" t="str">
        <f aca="false">IF(AND(D86="",E86=""),"",'Start Here'!$B$4+SUM($D$5:D86)+SUM($E$5:E86))</f>
        <v/>
      </c>
      <c r="G86" s="5"/>
    </row>
    <row r="87" customFormat="false" ht="15" hidden="false" customHeight="false" outlineLevel="0" collapsed="false">
      <c r="A87" s="19"/>
      <c r="B87" s="5"/>
      <c r="C87" s="5"/>
      <c r="D87" s="4"/>
      <c r="E87" s="4"/>
      <c r="F87" s="20" t="str">
        <f aca="false">IF(AND(D87="",E87=""),"",'Start Here'!$B$4+SUM($D$5:D87)+SUM($E$5:E87))</f>
        <v/>
      </c>
      <c r="G87" s="5"/>
    </row>
    <row r="88" customFormat="false" ht="15" hidden="false" customHeight="false" outlineLevel="0" collapsed="false">
      <c r="A88" s="19"/>
      <c r="B88" s="5"/>
      <c r="C88" s="5"/>
      <c r="D88" s="4"/>
      <c r="E88" s="4"/>
      <c r="F88" s="20" t="str">
        <f aca="false">IF(AND(D88="",E88=""),"",'Start Here'!$B$4+SUM($D$5:D88)+SUM($E$5:E88))</f>
        <v/>
      </c>
      <c r="G88" s="5"/>
    </row>
    <row r="89" customFormat="false" ht="15" hidden="false" customHeight="false" outlineLevel="0" collapsed="false">
      <c r="A89" s="19"/>
      <c r="B89" s="5"/>
      <c r="C89" s="5"/>
      <c r="D89" s="4"/>
      <c r="E89" s="4"/>
      <c r="F89" s="20" t="str">
        <f aca="false">IF(AND(D89="",E89=""),"",'Start Here'!$B$4+SUM($D$5:D89)+SUM($E$5:E89))</f>
        <v/>
      </c>
      <c r="G89" s="5"/>
    </row>
    <row r="90" customFormat="false" ht="15" hidden="false" customHeight="false" outlineLevel="0" collapsed="false">
      <c r="A90" s="19"/>
      <c r="B90" s="5"/>
      <c r="C90" s="5"/>
      <c r="D90" s="4"/>
      <c r="E90" s="4"/>
      <c r="F90" s="20" t="str">
        <f aca="false">IF(AND(D90="",E90=""),"",'Start Here'!$B$4+SUM($D$5:D90)+SUM($E$5:E90))</f>
        <v/>
      </c>
      <c r="G90" s="5"/>
    </row>
    <row r="91" customFormat="false" ht="15" hidden="false" customHeight="false" outlineLevel="0" collapsed="false">
      <c r="A91" s="19"/>
      <c r="B91" s="5"/>
      <c r="C91" s="5"/>
      <c r="D91" s="4"/>
      <c r="E91" s="4"/>
      <c r="F91" s="20" t="str">
        <f aca="false">IF(AND(D91="",E91=""),"",'Start Here'!$B$4+SUM($D$5:D91)+SUM($E$5:E91))</f>
        <v/>
      </c>
      <c r="G91" s="5"/>
    </row>
    <row r="92" customFormat="false" ht="15" hidden="false" customHeight="false" outlineLevel="0" collapsed="false">
      <c r="A92" s="19"/>
      <c r="B92" s="5"/>
      <c r="C92" s="5"/>
      <c r="D92" s="4"/>
      <c r="E92" s="4"/>
      <c r="F92" s="20" t="str">
        <f aca="false">IF(AND(D92="",E92=""),"",'Start Here'!$B$4+SUM($D$5:D92)+SUM($E$5:E92))</f>
        <v/>
      </c>
      <c r="G92" s="5"/>
    </row>
    <row r="93" customFormat="false" ht="15" hidden="false" customHeight="false" outlineLevel="0" collapsed="false">
      <c r="A93" s="19"/>
      <c r="B93" s="5"/>
      <c r="C93" s="5"/>
      <c r="D93" s="4"/>
      <c r="E93" s="4"/>
      <c r="F93" s="20" t="str">
        <f aca="false">IF(AND(D93="",E93=""),"",'Start Here'!$B$4+SUM($D$5:D93)+SUM($E$5:E93))</f>
        <v/>
      </c>
      <c r="G93" s="5"/>
    </row>
    <row r="94" customFormat="false" ht="15" hidden="false" customHeight="false" outlineLevel="0" collapsed="false">
      <c r="A94" s="19"/>
      <c r="B94" s="5"/>
      <c r="C94" s="5"/>
      <c r="D94" s="4"/>
      <c r="E94" s="4"/>
      <c r="F94" s="20" t="str">
        <f aca="false">IF(AND(D94="",E94=""),"",'Start Here'!$B$4+SUM($D$5:D94)+SUM($E$5:E94))</f>
        <v/>
      </c>
      <c r="G94" s="5"/>
    </row>
    <row r="95" customFormat="false" ht="15" hidden="false" customHeight="false" outlineLevel="0" collapsed="false">
      <c r="A95" s="19"/>
      <c r="B95" s="5"/>
      <c r="C95" s="5"/>
      <c r="D95" s="4"/>
      <c r="E95" s="4"/>
      <c r="F95" s="20" t="str">
        <f aca="false">IF(AND(D95="",E95=""),"",'Start Here'!$B$4+SUM($D$5:D95)+SUM($E$5:E95))</f>
        <v/>
      </c>
      <c r="G95" s="5"/>
    </row>
    <row r="96" customFormat="false" ht="15" hidden="false" customHeight="false" outlineLevel="0" collapsed="false">
      <c r="A96" s="19"/>
      <c r="B96" s="5"/>
      <c r="C96" s="5"/>
      <c r="D96" s="4"/>
      <c r="E96" s="4"/>
      <c r="F96" s="20" t="str">
        <f aca="false">IF(AND(D96="",E96=""),"",'Start Here'!$B$4+SUM($D$5:D96)+SUM($E$5:E96))</f>
        <v/>
      </c>
      <c r="G96" s="5"/>
    </row>
    <row r="97" customFormat="false" ht="15" hidden="false" customHeight="false" outlineLevel="0" collapsed="false">
      <c r="A97" s="19"/>
      <c r="B97" s="5"/>
      <c r="C97" s="5"/>
      <c r="D97" s="4"/>
      <c r="E97" s="4"/>
      <c r="F97" s="20" t="str">
        <f aca="false">IF(AND(D97="",E97=""),"",'Start Here'!$B$4+SUM($D$5:D97)+SUM($E$5:E97))</f>
        <v/>
      </c>
      <c r="G97" s="5"/>
    </row>
    <row r="98" customFormat="false" ht="15" hidden="false" customHeight="false" outlineLevel="0" collapsed="false">
      <c r="A98" s="19"/>
      <c r="B98" s="5"/>
      <c r="C98" s="5"/>
      <c r="D98" s="4"/>
      <c r="E98" s="4"/>
      <c r="F98" s="20" t="str">
        <f aca="false">IF(AND(D98="",E98=""),"",'Start Here'!$B$4+SUM($D$5:D98)+SUM($E$5:E98))</f>
        <v/>
      </c>
      <c r="G98" s="5"/>
    </row>
    <row r="99" customFormat="false" ht="15" hidden="false" customHeight="false" outlineLevel="0" collapsed="false">
      <c r="A99" s="19"/>
      <c r="B99" s="5"/>
      <c r="C99" s="5"/>
      <c r="D99" s="4"/>
      <c r="E99" s="4"/>
      <c r="F99" s="20" t="str">
        <f aca="false">IF(AND(D99="",E99=""),"",'Start Here'!$B$4+SUM($D$5:D99)+SUM($E$5:E99))</f>
        <v/>
      </c>
      <c r="G99" s="5"/>
    </row>
    <row r="100" customFormat="false" ht="15" hidden="false" customHeight="false" outlineLevel="0" collapsed="false">
      <c r="A100" s="19"/>
      <c r="B100" s="5"/>
      <c r="C100" s="5"/>
      <c r="D100" s="4"/>
      <c r="E100" s="4"/>
      <c r="F100" s="20" t="str">
        <f aca="false">IF(AND(D100="",E100=""),"",'Start Here'!$B$4+SUM($D$5:D100)+SUM($E$5:E100))</f>
        <v/>
      </c>
      <c r="G100" s="5"/>
    </row>
    <row r="101" customFormat="false" ht="15" hidden="false" customHeight="false" outlineLevel="0" collapsed="false">
      <c r="A101" s="19"/>
      <c r="B101" s="5"/>
      <c r="C101" s="5"/>
      <c r="D101" s="4"/>
      <c r="E101" s="4"/>
      <c r="F101" s="20" t="str">
        <f aca="false">IF(AND(D101="",E101=""),"",'Start Here'!$B$4+SUM($D$5:D101)+SUM($E$5:E101))</f>
        <v/>
      </c>
      <c r="G101" s="5"/>
    </row>
    <row r="102" customFormat="false" ht="15" hidden="false" customHeight="false" outlineLevel="0" collapsed="false">
      <c r="A102" s="19"/>
      <c r="B102" s="5"/>
      <c r="C102" s="5"/>
      <c r="D102" s="4"/>
      <c r="E102" s="4"/>
      <c r="F102" s="20" t="str">
        <f aca="false">IF(AND(D102="",E102=""),"",'Start Here'!$B$4+SUM($D$5:D102)+SUM($E$5:E102))</f>
        <v/>
      </c>
      <c r="G102" s="5"/>
    </row>
    <row r="103" customFormat="false" ht="15" hidden="false" customHeight="false" outlineLevel="0" collapsed="false">
      <c r="A103" s="19"/>
      <c r="B103" s="5"/>
      <c r="C103" s="5"/>
      <c r="D103" s="4"/>
      <c r="E103" s="4"/>
      <c r="F103" s="20" t="str">
        <f aca="false">IF(AND(D103="",E103=""),"",'Start Here'!$B$4+SUM($D$5:D103)+SUM($E$5:E103))</f>
        <v/>
      </c>
      <c r="G103" s="5"/>
    </row>
    <row r="104" customFormat="false" ht="15" hidden="false" customHeight="false" outlineLevel="0" collapsed="false">
      <c r="A104" s="19"/>
      <c r="B104" s="5"/>
      <c r="C104" s="5"/>
      <c r="D104" s="4"/>
      <c r="E104" s="4"/>
      <c r="F104" s="20" t="str">
        <f aca="false">IF(AND(D104="",E104=""),"",'Start Here'!$B$4+SUM($D$5:D104)+SUM($E$5:E104))</f>
        <v/>
      </c>
      <c r="G104" s="5"/>
    </row>
    <row r="105" customFormat="false" ht="15" hidden="false" customHeight="false" outlineLevel="0" collapsed="false">
      <c r="A105" s="19"/>
      <c r="B105" s="5"/>
      <c r="C105" s="5"/>
      <c r="D105" s="4"/>
      <c r="E105" s="4"/>
      <c r="F105" s="20" t="str">
        <f aca="false">IF(AND(D105="",E105=""),"",'Start Here'!$B$4+SUM($D$5:D105)+SUM($E$5:E105))</f>
        <v/>
      </c>
      <c r="G105" s="5"/>
    </row>
    <row r="106" customFormat="false" ht="15" hidden="false" customHeight="false" outlineLevel="0" collapsed="false">
      <c r="A106" s="19"/>
      <c r="B106" s="5"/>
      <c r="C106" s="5"/>
      <c r="D106" s="4"/>
      <c r="E106" s="4"/>
      <c r="F106" s="20" t="str">
        <f aca="false">IF(AND(D106="",E106=""),"",'Start Here'!$B$4+SUM($D$5:D106)+SUM($E$5:E106))</f>
        <v/>
      </c>
      <c r="G106" s="5"/>
    </row>
    <row r="107" customFormat="false" ht="15" hidden="false" customHeight="false" outlineLevel="0" collapsed="false">
      <c r="A107" s="19"/>
      <c r="B107" s="5"/>
      <c r="C107" s="5"/>
      <c r="D107" s="4"/>
      <c r="E107" s="4"/>
      <c r="F107" s="20" t="str">
        <f aca="false">IF(AND(D107="",E107=""),"",'Start Here'!$B$4+SUM($D$5:D107)+SUM($E$5:E107))</f>
        <v/>
      </c>
      <c r="G107" s="5"/>
    </row>
    <row r="108" customFormat="false" ht="15" hidden="false" customHeight="false" outlineLevel="0" collapsed="false">
      <c r="A108" s="19"/>
      <c r="B108" s="5"/>
      <c r="C108" s="5"/>
      <c r="D108" s="4"/>
      <c r="E108" s="4"/>
      <c r="F108" s="20" t="str">
        <f aca="false">IF(AND(D108="",E108=""),"",'Start Here'!$B$4+SUM($D$5:D108)+SUM($E$5:E108))</f>
        <v/>
      </c>
      <c r="G108" s="5"/>
    </row>
    <row r="109" customFormat="false" ht="15" hidden="false" customHeight="false" outlineLevel="0" collapsed="false">
      <c r="A109" s="19"/>
      <c r="B109" s="5"/>
      <c r="C109" s="5"/>
      <c r="D109" s="4"/>
      <c r="E109" s="4"/>
      <c r="F109" s="20" t="str">
        <f aca="false">IF(AND(D109="",E109=""),"",'Start Here'!$B$4+SUM($D$5:D109)+SUM($E$5:E109))</f>
        <v/>
      </c>
      <c r="G109" s="5"/>
    </row>
    <row r="110" customFormat="false" ht="15" hidden="false" customHeight="false" outlineLevel="0" collapsed="false">
      <c r="A110" s="19"/>
      <c r="B110" s="5"/>
      <c r="C110" s="5"/>
      <c r="D110" s="4"/>
      <c r="E110" s="4"/>
      <c r="F110" s="20" t="str">
        <f aca="false">IF(AND(D110="",E110=""),"",'Start Here'!$B$4+SUM($D$5:D110)+SUM($E$5:E110))</f>
        <v/>
      </c>
      <c r="G110" s="5"/>
    </row>
    <row r="111" customFormat="false" ht="15" hidden="false" customHeight="false" outlineLevel="0" collapsed="false">
      <c r="A111" s="19"/>
      <c r="B111" s="5"/>
      <c r="C111" s="5"/>
      <c r="D111" s="4"/>
      <c r="E111" s="4"/>
      <c r="F111" s="20" t="str">
        <f aca="false">IF(AND(D111="",E111=""),"",'Start Here'!$B$4+SUM($D$5:D111)+SUM($E$5:E111))</f>
        <v/>
      </c>
      <c r="G111" s="5"/>
    </row>
    <row r="112" customFormat="false" ht="15" hidden="false" customHeight="false" outlineLevel="0" collapsed="false">
      <c r="A112" s="19"/>
      <c r="B112" s="5"/>
      <c r="C112" s="5"/>
      <c r="D112" s="4"/>
      <c r="E112" s="4"/>
      <c r="F112" s="20" t="str">
        <f aca="false">IF(AND(D112="",E112=""),"",'Start Here'!$B$4+SUM($D$5:D112)+SUM($E$5:E112))</f>
        <v/>
      </c>
      <c r="G112" s="5"/>
    </row>
    <row r="113" customFormat="false" ht="15" hidden="false" customHeight="false" outlineLevel="0" collapsed="false">
      <c r="A113" s="19"/>
      <c r="B113" s="5"/>
      <c r="C113" s="5"/>
      <c r="D113" s="4"/>
      <c r="E113" s="4"/>
      <c r="F113" s="20" t="str">
        <f aca="false">IF(AND(D113="",E113=""),"",'Start Here'!$B$4+SUM($D$5:D113)+SUM($E$5:E113))</f>
        <v/>
      </c>
      <c r="G113" s="5"/>
    </row>
    <row r="114" customFormat="false" ht="15" hidden="false" customHeight="false" outlineLevel="0" collapsed="false">
      <c r="A114" s="19"/>
      <c r="B114" s="5"/>
      <c r="C114" s="5"/>
      <c r="D114" s="4"/>
      <c r="E114" s="4"/>
      <c r="F114" s="20" t="str">
        <f aca="false">IF(AND(D114="",E114=""),"",'Start Here'!$B$4+SUM($D$5:D114)+SUM($E$5:E114))</f>
        <v/>
      </c>
      <c r="G114" s="5"/>
    </row>
    <row r="115" customFormat="false" ht="15" hidden="false" customHeight="false" outlineLevel="0" collapsed="false">
      <c r="A115" s="19"/>
      <c r="B115" s="5"/>
      <c r="C115" s="5"/>
      <c r="D115" s="4"/>
      <c r="E115" s="4"/>
      <c r="F115" s="20" t="str">
        <f aca="false">IF(AND(D115="",E115=""),"",'Start Here'!$B$4+SUM($D$5:D115)+SUM($E$5:E115))</f>
        <v/>
      </c>
      <c r="G115" s="5"/>
    </row>
    <row r="116" customFormat="false" ht="15" hidden="false" customHeight="false" outlineLevel="0" collapsed="false">
      <c r="A116" s="19"/>
      <c r="B116" s="5"/>
      <c r="C116" s="5"/>
      <c r="D116" s="4"/>
      <c r="E116" s="4"/>
      <c r="F116" s="20" t="str">
        <f aca="false">IF(AND(D116="",E116=""),"",'Start Here'!$B$4+SUM($D$5:D116)+SUM($E$5:E116))</f>
        <v/>
      </c>
      <c r="G116" s="5"/>
    </row>
    <row r="117" customFormat="false" ht="15" hidden="false" customHeight="false" outlineLevel="0" collapsed="false">
      <c r="A117" s="19"/>
      <c r="B117" s="5"/>
      <c r="C117" s="5"/>
      <c r="D117" s="4"/>
      <c r="E117" s="4"/>
      <c r="F117" s="20" t="str">
        <f aca="false">IF(AND(D117="",E117=""),"",'Start Here'!$B$4+SUM($D$5:D117)+SUM($E$5:E117))</f>
        <v/>
      </c>
      <c r="G117" s="5"/>
    </row>
    <row r="118" customFormat="false" ht="15" hidden="false" customHeight="false" outlineLevel="0" collapsed="false">
      <c r="A118" s="19"/>
      <c r="B118" s="5"/>
      <c r="C118" s="5"/>
      <c r="D118" s="4"/>
      <c r="E118" s="4"/>
      <c r="F118" s="20" t="str">
        <f aca="false">IF(AND(D118="",E118=""),"",'Start Here'!$B$4+SUM($D$5:D118)+SUM($E$5:E118))</f>
        <v/>
      </c>
      <c r="G118" s="5"/>
    </row>
    <row r="119" customFormat="false" ht="15" hidden="false" customHeight="false" outlineLevel="0" collapsed="false">
      <c r="A119" s="19"/>
      <c r="B119" s="5"/>
      <c r="C119" s="5"/>
      <c r="D119" s="4"/>
      <c r="E119" s="4"/>
      <c r="F119" s="20" t="str">
        <f aca="false">IF(AND(D119="",E119=""),"",'Start Here'!$B$4+SUM($D$5:D119)+SUM($E$5:E119))</f>
        <v/>
      </c>
      <c r="G119" s="5"/>
    </row>
    <row r="120" customFormat="false" ht="15" hidden="false" customHeight="false" outlineLevel="0" collapsed="false">
      <c r="A120" s="19"/>
      <c r="B120" s="5"/>
      <c r="C120" s="5"/>
      <c r="D120" s="4"/>
      <c r="E120" s="4"/>
      <c r="F120" s="20" t="str">
        <f aca="false">IF(AND(D120="",E120=""),"",'Start Here'!$B$4+SUM($D$5:D120)+SUM($E$5:E120))</f>
        <v/>
      </c>
      <c r="G120" s="5"/>
    </row>
    <row r="121" customFormat="false" ht="15" hidden="false" customHeight="false" outlineLevel="0" collapsed="false">
      <c r="A121" s="19"/>
      <c r="B121" s="5"/>
      <c r="C121" s="5"/>
      <c r="D121" s="4"/>
      <c r="E121" s="4"/>
      <c r="F121" s="20" t="str">
        <f aca="false">IF(AND(D121="",E121=""),"",'Start Here'!$B$4+SUM($D$5:D121)+SUM($E$5:E121))</f>
        <v/>
      </c>
      <c r="G121" s="5"/>
    </row>
    <row r="122" customFormat="false" ht="15" hidden="false" customHeight="false" outlineLevel="0" collapsed="false">
      <c r="A122" s="19"/>
      <c r="B122" s="5"/>
      <c r="C122" s="5"/>
      <c r="D122" s="4"/>
      <c r="E122" s="4"/>
      <c r="F122" s="20" t="str">
        <f aca="false">IF(AND(D122="",E122=""),"",'Start Here'!$B$4+SUM($D$5:D122)+SUM($E$5:E122))</f>
        <v/>
      </c>
      <c r="G122" s="5"/>
    </row>
    <row r="123" customFormat="false" ht="15" hidden="false" customHeight="false" outlineLevel="0" collapsed="false">
      <c r="A123" s="19"/>
      <c r="B123" s="5"/>
      <c r="C123" s="5"/>
      <c r="D123" s="4"/>
      <c r="E123" s="4"/>
      <c r="F123" s="20" t="str">
        <f aca="false">IF(AND(D123="",E123=""),"",'Start Here'!$B$4+SUM($D$5:D123)+SUM($E$5:E123))</f>
        <v/>
      </c>
      <c r="G123" s="5"/>
    </row>
    <row r="124" customFormat="false" ht="15" hidden="false" customHeight="false" outlineLevel="0" collapsed="false">
      <c r="A124" s="19"/>
      <c r="B124" s="5"/>
      <c r="C124" s="5"/>
      <c r="D124" s="4"/>
      <c r="E124" s="4"/>
      <c r="F124" s="20" t="str">
        <f aca="false">IF(AND(D124="",E124=""),"",'Start Here'!$B$4+SUM($D$5:D124)+SUM($E$5:E124))</f>
        <v/>
      </c>
      <c r="G124" s="5"/>
    </row>
    <row r="125" customFormat="false" ht="15" hidden="false" customHeight="false" outlineLevel="0" collapsed="false">
      <c r="A125" s="19"/>
      <c r="B125" s="5"/>
      <c r="C125" s="5"/>
      <c r="D125" s="4"/>
      <c r="E125" s="4"/>
      <c r="F125" s="20" t="str">
        <f aca="false">IF(AND(D125="",E125=""),"",'Start Here'!$B$4+SUM($D$5:D125)+SUM($E$5:E125))</f>
        <v/>
      </c>
      <c r="G125" s="5"/>
    </row>
    <row r="126" customFormat="false" ht="15" hidden="false" customHeight="false" outlineLevel="0" collapsed="false">
      <c r="A126" s="19"/>
      <c r="B126" s="5"/>
      <c r="C126" s="5"/>
      <c r="D126" s="4"/>
      <c r="E126" s="4"/>
      <c r="F126" s="20" t="str">
        <f aca="false">IF(AND(D126="",E126=""),"",'Start Here'!$B$4+SUM($D$5:D126)+SUM($E$5:E126))</f>
        <v/>
      </c>
      <c r="G126" s="5"/>
    </row>
    <row r="127" customFormat="false" ht="15" hidden="false" customHeight="false" outlineLevel="0" collapsed="false">
      <c r="A127" s="19"/>
      <c r="B127" s="5"/>
      <c r="C127" s="5"/>
      <c r="D127" s="4"/>
      <c r="E127" s="4"/>
      <c r="F127" s="20" t="str">
        <f aca="false">IF(AND(D127="",E127=""),"",'Start Here'!$B$4+SUM($D$5:D127)+SUM($E$5:E127))</f>
        <v/>
      </c>
      <c r="G127" s="5"/>
    </row>
    <row r="128" customFormat="false" ht="15" hidden="false" customHeight="false" outlineLevel="0" collapsed="false">
      <c r="A128" s="19"/>
      <c r="B128" s="5"/>
      <c r="C128" s="5"/>
      <c r="D128" s="4"/>
      <c r="E128" s="4"/>
      <c r="F128" s="20" t="str">
        <f aca="false">IF(AND(D128="",E128=""),"",'Start Here'!$B$4+SUM($D$5:D128)+SUM($E$5:E128))</f>
        <v/>
      </c>
      <c r="G128" s="5"/>
    </row>
    <row r="129" customFormat="false" ht="15" hidden="false" customHeight="false" outlineLevel="0" collapsed="false">
      <c r="A129" s="19"/>
      <c r="B129" s="5"/>
      <c r="C129" s="5"/>
      <c r="D129" s="4"/>
      <c r="E129" s="4"/>
      <c r="F129" s="20" t="str">
        <f aca="false">IF(AND(D129="",E129=""),"",'Start Here'!$B$4+SUM($D$5:D129)+SUM($E$5:E129))</f>
        <v/>
      </c>
      <c r="G129" s="5"/>
    </row>
    <row r="130" customFormat="false" ht="15" hidden="false" customHeight="false" outlineLevel="0" collapsed="false">
      <c r="A130" s="19"/>
      <c r="B130" s="5"/>
      <c r="C130" s="5"/>
      <c r="D130" s="4"/>
      <c r="E130" s="4"/>
      <c r="F130" s="20" t="str">
        <f aca="false">IF(AND(D130="",E130=""),"",'Start Here'!$B$4+SUM($D$5:D130)+SUM($E$5:E130))</f>
        <v/>
      </c>
      <c r="G130" s="5"/>
    </row>
    <row r="131" customFormat="false" ht="15" hidden="false" customHeight="false" outlineLevel="0" collapsed="false">
      <c r="A131" s="19"/>
      <c r="B131" s="5"/>
      <c r="C131" s="5"/>
      <c r="D131" s="4"/>
      <c r="E131" s="4"/>
      <c r="F131" s="20" t="str">
        <f aca="false">IF(AND(D131="",E131=""),"",'Start Here'!$B$4+SUM($D$5:D131)+SUM($E$5:E131))</f>
        <v/>
      </c>
      <c r="G131" s="5"/>
    </row>
    <row r="132" customFormat="false" ht="15" hidden="false" customHeight="false" outlineLevel="0" collapsed="false">
      <c r="A132" s="19"/>
      <c r="B132" s="5"/>
      <c r="C132" s="5"/>
      <c r="D132" s="4"/>
      <c r="E132" s="4"/>
      <c r="F132" s="20" t="str">
        <f aca="false">IF(AND(D132="",E132=""),"",'Start Here'!$B$4+SUM($D$5:D132)+SUM($E$5:E132))</f>
        <v/>
      </c>
      <c r="G132" s="5"/>
    </row>
    <row r="133" customFormat="false" ht="15" hidden="false" customHeight="false" outlineLevel="0" collapsed="false">
      <c r="A133" s="19"/>
      <c r="B133" s="5"/>
      <c r="C133" s="5"/>
      <c r="D133" s="4"/>
      <c r="E133" s="4"/>
      <c r="F133" s="20" t="str">
        <f aca="false">IF(AND(D133="",E133=""),"",'Start Here'!$B$4+SUM($D$5:D133)+SUM($E$5:E133))</f>
        <v/>
      </c>
      <c r="G133" s="5"/>
    </row>
    <row r="134" customFormat="false" ht="15" hidden="false" customHeight="false" outlineLevel="0" collapsed="false">
      <c r="A134" s="19"/>
      <c r="B134" s="5"/>
      <c r="C134" s="5"/>
      <c r="D134" s="4"/>
      <c r="E134" s="4"/>
      <c r="F134" s="20" t="str">
        <f aca="false">IF(AND(D134="",E134=""),"",'Start Here'!$B$4+SUM($D$5:D134)+SUM($E$5:E134))</f>
        <v/>
      </c>
      <c r="G134" s="5"/>
    </row>
    <row r="135" customFormat="false" ht="15" hidden="false" customHeight="false" outlineLevel="0" collapsed="false">
      <c r="A135" s="19"/>
      <c r="B135" s="5"/>
      <c r="C135" s="5"/>
      <c r="D135" s="4"/>
      <c r="E135" s="4"/>
      <c r="F135" s="20" t="str">
        <f aca="false">IF(AND(D135="",E135=""),"",'Start Here'!$B$4+SUM($D$5:D135)+SUM($E$5:E135))</f>
        <v/>
      </c>
      <c r="G135" s="5"/>
    </row>
    <row r="136" customFormat="false" ht="15" hidden="false" customHeight="false" outlineLevel="0" collapsed="false">
      <c r="A136" s="19"/>
      <c r="B136" s="5"/>
      <c r="C136" s="5"/>
      <c r="D136" s="4"/>
      <c r="E136" s="4"/>
      <c r="F136" s="20" t="str">
        <f aca="false">IF(AND(D136="",E136=""),"",'Start Here'!$B$4+SUM($D$5:D136)+SUM($E$5:E136))</f>
        <v/>
      </c>
      <c r="G136" s="5"/>
    </row>
    <row r="137" customFormat="false" ht="15" hidden="false" customHeight="false" outlineLevel="0" collapsed="false">
      <c r="A137" s="19"/>
      <c r="B137" s="5"/>
      <c r="C137" s="5"/>
      <c r="D137" s="4"/>
      <c r="E137" s="4"/>
      <c r="F137" s="20" t="str">
        <f aca="false">IF(AND(D137="",E137=""),"",'Start Here'!$B$4+SUM($D$5:D137)+SUM($E$5:E137))</f>
        <v/>
      </c>
      <c r="G137" s="5"/>
    </row>
    <row r="138" customFormat="false" ht="15" hidden="false" customHeight="false" outlineLevel="0" collapsed="false">
      <c r="A138" s="19"/>
      <c r="B138" s="5"/>
      <c r="C138" s="5"/>
      <c r="D138" s="4"/>
      <c r="E138" s="4"/>
      <c r="F138" s="20" t="str">
        <f aca="false">IF(AND(D138="",E138=""),"",'Start Here'!$B$4+SUM($D$5:D138)+SUM($E$5:E138))</f>
        <v/>
      </c>
      <c r="G138" s="5"/>
    </row>
    <row r="139" customFormat="false" ht="15" hidden="false" customHeight="false" outlineLevel="0" collapsed="false">
      <c r="A139" s="19"/>
      <c r="B139" s="5"/>
      <c r="C139" s="5"/>
      <c r="D139" s="4"/>
      <c r="E139" s="4"/>
      <c r="F139" s="20" t="str">
        <f aca="false">IF(AND(D139="",E139=""),"",'Start Here'!$B$4+SUM($D$5:D139)+SUM($E$5:E139))</f>
        <v/>
      </c>
      <c r="G139" s="5"/>
    </row>
    <row r="140" customFormat="false" ht="15" hidden="false" customHeight="false" outlineLevel="0" collapsed="false">
      <c r="A140" s="19"/>
      <c r="B140" s="5"/>
      <c r="C140" s="5"/>
      <c r="D140" s="4"/>
      <c r="E140" s="4"/>
      <c r="F140" s="20" t="str">
        <f aca="false">IF(AND(D140="",E140=""),"",'Start Here'!$B$4+SUM($D$5:D140)+SUM($E$5:E140))</f>
        <v/>
      </c>
      <c r="G140" s="5"/>
    </row>
    <row r="141" customFormat="false" ht="15" hidden="false" customHeight="false" outlineLevel="0" collapsed="false">
      <c r="A141" s="19"/>
      <c r="B141" s="5"/>
      <c r="C141" s="5"/>
      <c r="D141" s="4"/>
      <c r="E141" s="4"/>
      <c r="F141" s="20" t="str">
        <f aca="false">IF(AND(D141="",E141=""),"",'Start Here'!$B$4+SUM($D$5:D141)+SUM($E$5:E141))</f>
        <v/>
      </c>
      <c r="G141" s="5"/>
    </row>
    <row r="142" customFormat="false" ht="15" hidden="false" customHeight="false" outlineLevel="0" collapsed="false">
      <c r="A142" s="19"/>
      <c r="B142" s="5"/>
      <c r="C142" s="5"/>
      <c r="D142" s="4"/>
      <c r="E142" s="4"/>
      <c r="F142" s="20" t="str">
        <f aca="false">IF(AND(D142="",E142=""),"",'Start Here'!$B$4+SUM($D$5:D142)+SUM($E$5:E142))</f>
        <v/>
      </c>
      <c r="G142" s="5"/>
    </row>
    <row r="143" customFormat="false" ht="15" hidden="false" customHeight="false" outlineLevel="0" collapsed="false">
      <c r="A143" s="19"/>
      <c r="B143" s="5"/>
      <c r="C143" s="5"/>
      <c r="D143" s="4"/>
      <c r="E143" s="4"/>
      <c r="F143" s="20" t="str">
        <f aca="false">IF(AND(D143="",E143=""),"",'Start Here'!$B$4+SUM($D$5:D143)+SUM($E$5:E143))</f>
        <v/>
      </c>
      <c r="G143" s="5"/>
    </row>
    <row r="144" customFormat="false" ht="15" hidden="false" customHeight="false" outlineLevel="0" collapsed="false">
      <c r="A144" s="19"/>
      <c r="B144" s="5"/>
      <c r="C144" s="5"/>
      <c r="D144" s="4"/>
      <c r="E144" s="4"/>
      <c r="F144" s="20" t="str">
        <f aca="false">IF(AND(D144="",E144=""),"",'Start Here'!$B$4+SUM($D$5:D144)+SUM($E$5:E144))</f>
        <v/>
      </c>
      <c r="G144" s="5"/>
    </row>
    <row r="145" customFormat="false" ht="15" hidden="false" customHeight="false" outlineLevel="0" collapsed="false">
      <c r="A145" s="19"/>
      <c r="B145" s="5"/>
      <c r="C145" s="5"/>
      <c r="D145" s="4"/>
      <c r="E145" s="4"/>
      <c r="F145" s="20" t="str">
        <f aca="false">IF(AND(D145="",E145=""),"",'Start Here'!$B$4+SUM($D$5:D145)+SUM($E$5:E145))</f>
        <v/>
      </c>
      <c r="G145" s="5"/>
    </row>
    <row r="146" customFormat="false" ht="15" hidden="false" customHeight="false" outlineLevel="0" collapsed="false">
      <c r="A146" s="19"/>
      <c r="B146" s="5"/>
      <c r="C146" s="5"/>
      <c r="D146" s="4"/>
      <c r="E146" s="4"/>
      <c r="F146" s="20" t="str">
        <f aca="false">IF(AND(D146="",E146=""),"",'Start Here'!$B$4+SUM($D$5:D146)+SUM($E$5:E146))</f>
        <v/>
      </c>
      <c r="G146" s="5"/>
    </row>
    <row r="147" customFormat="false" ht="15" hidden="false" customHeight="false" outlineLevel="0" collapsed="false">
      <c r="A147" s="19"/>
      <c r="B147" s="5"/>
      <c r="C147" s="5"/>
      <c r="D147" s="4"/>
      <c r="E147" s="4"/>
      <c r="F147" s="20" t="str">
        <f aca="false">IF(AND(D147="",E147=""),"",'Start Here'!$B$4+SUM($D$5:D147)+SUM($E$5:E147))</f>
        <v/>
      </c>
      <c r="G147" s="5"/>
    </row>
    <row r="148" customFormat="false" ht="15" hidden="false" customHeight="false" outlineLevel="0" collapsed="false">
      <c r="A148" s="19"/>
      <c r="B148" s="5"/>
      <c r="C148" s="5"/>
      <c r="D148" s="4"/>
      <c r="E148" s="4"/>
      <c r="F148" s="20" t="str">
        <f aca="false">IF(AND(D148="",E148=""),"",'Start Here'!$B$4+SUM($D$5:D148)+SUM($E$5:E148))</f>
        <v/>
      </c>
      <c r="G148" s="5"/>
    </row>
    <row r="149" customFormat="false" ht="15" hidden="false" customHeight="false" outlineLevel="0" collapsed="false">
      <c r="A149" s="19"/>
      <c r="B149" s="5"/>
      <c r="C149" s="5"/>
      <c r="D149" s="4"/>
      <c r="E149" s="4"/>
      <c r="F149" s="20" t="str">
        <f aca="false">IF(AND(D149="",E149=""),"",'Start Here'!$B$4+SUM($D$5:D149)+SUM($E$5:E149))</f>
        <v/>
      </c>
      <c r="G149" s="5"/>
    </row>
    <row r="150" customFormat="false" ht="15" hidden="false" customHeight="false" outlineLevel="0" collapsed="false">
      <c r="A150" s="19"/>
      <c r="B150" s="5"/>
      <c r="C150" s="5"/>
      <c r="D150" s="4"/>
      <c r="E150" s="4"/>
      <c r="F150" s="20" t="str">
        <f aca="false">IF(AND(D150="",E150=""),"",'Start Here'!$B$4+SUM($D$5:D150)+SUM($E$5:E150))</f>
        <v/>
      </c>
      <c r="G150" s="5"/>
    </row>
    <row r="151" customFormat="false" ht="15" hidden="false" customHeight="false" outlineLevel="0" collapsed="false">
      <c r="A151" s="19"/>
      <c r="B151" s="5"/>
      <c r="C151" s="5"/>
      <c r="D151" s="4"/>
      <c r="E151" s="4"/>
      <c r="F151" s="20" t="str">
        <f aca="false">IF(AND(D151="",E151=""),"",'Start Here'!$B$4+SUM($D$5:D151)+SUM($E$5:E151))</f>
        <v/>
      </c>
      <c r="G151" s="5"/>
    </row>
    <row r="152" customFormat="false" ht="15" hidden="false" customHeight="false" outlineLevel="0" collapsed="false">
      <c r="A152" s="19"/>
      <c r="B152" s="5"/>
      <c r="C152" s="5"/>
      <c r="D152" s="4"/>
      <c r="E152" s="4"/>
      <c r="F152" s="20" t="str">
        <f aca="false">IF(AND(D152="",E152=""),"",'Start Here'!$B$4+SUM($D$5:D152)+SUM($E$5:E152))</f>
        <v/>
      </c>
      <c r="G152" s="5"/>
    </row>
    <row r="153" customFormat="false" ht="15" hidden="false" customHeight="false" outlineLevel="0" collapsed="false">
      <c r="A153" s="19"/>
      <c r="B153" s="5"/>
      <c r="C153" s="5"/>
      <c r="D153" s="4"/>
      <c r="E153" s="4"/>
      <c r="F153" s="20" t="str">
        <f aca="false">IF(AND(D153="",E153=""),"",'Start Here'!$B$4+SUM($D$5:D153)+SUM($E$5:E153))</f>
        <v/>
      </c>
      <c r="G153" s="5"/>
    </row>
    <row r="154" customFormat="false" ht="15" hidden="false" customHeight="false" outlineLevel="0" collapsed="false">
      <c r="A154" s="19"/>
      <c r="B154" s="5"/>
      <c r="C154" s="5"/>
      <c r="D154" s="4"/>
      <c r="E154" s="4"/>
      <c r="F154" s="20" t="str">
        <f aca="false">IF(AND(D154="",E154=""),"",'Start Here'!$B$4+SUM($D$5:D154)+SUM($E$5:E154))</f>
        <v/>
      </c>
      <c r="G154" s="5"/>
    </row>
    <row r="155" customFormat="false" ht="15" hidden="false" customHeight="false" outlineLevel="0" collapsed="false">
      <c r="A155" s="19"/>
      <c r="B155" s="5"/>
      <c r="C155" s="5"/>
      <c r="D155" s="4"/>
      <c r="E155" s="4"/>
      <c r="F155" s="20" t="str">
        <f aca="false">IF(AND(D155="",E155=""),"",'Start Here'!$B$4+SUM($D$5:D155)+SUM($E$5:E155))</f>
        <v/>
      </c>
      <c r="G155" s="5"/>
    </row>
    <row r="156" customFormat="false" ht="15" hidden="false" customHeight="false" outlineLevel="0" collapsed="false">
      <c r="A156" s="19"/>
      <c r="B156" s="5"/>
      <c r="C156" s="5"/>
      <c r="D156" s="4"/>
      <c r="E156" s="4"/>
      <c r="F156" s="20" t="str">
        <f aca="false">IF(AND(D156="",E156=""),"",'Start Here'!$B$4+SUM($D$5:D156)+SUM($E$5:E156))</f>
        <v/>
      </c>
      <c r="G156" s="5"/>
    </row>
    <row r="157" customFormat="false" ht="15" hidden="false" customHeight="false" outlineLevel="0" collapsed="false">
      <c r="A157" s="19"/>
      <c r="B157" s="5"/>
      <c r="C157" s="5"/>
      <c r="D157" s="4"/>
      <c r="E157" s="4"/>
      <c r="F157" s="20" t="str">
        <f aca="false">IF(AND(D157="",E157=""),"",'Start Here'!$B$4+SUM($D$5:D157)+SUM($E$5:E157))</f>
        <v/>
      </c>
      <c r="G157" s="5"/>
    </row>
    <row r="158" customFormat="false" ht="15" hidden="false" customHeight="false" outlineLevel="0" collapsed="false">
      <c r="A158" s="19"/>
      <c r="B158" s="5"/>
      <c r="C158" s="5"/>
      <c r="D158" s="4"/>
      <c r="E158" s="4"/>
      <c r="F158" s="20" t="str">
        <f aca="false">IF(AND(D158="",E158=""),"",'Start Here'!$B$4+SUM($D$5:D158)+SUM($E$5:E158))</f>
        <v/>
      </c>
      <c r="G158" s="5"/>
    </row>
    <row r="159" customFormat="false" ht="15" hidden="false" customHeight="false" outlineLevel="0" collapsed="false">
      <c r="A159" s="19"/>
      <c r="B159" s="5"/>
      <c r="C159" s="5"/>
      <c r="D159" s="4"/>
      <c r="E159" s="4"/>
      <c r="F159" s="20" t="str">
        <f aca="false">IF(AND(D159="",E159=""),"",'Start Here'!$B$4+SUM($D$5:D159)+SUM($E$5:E159))</f>
        <v/>
      </c>
      <c r="G159" s="5"/>
    </row>
    <row r="160" customFormat="false" ht="15" hidden="false" customHeight="false" outlineLevel="0" collapsed="false">
      <c r="A160" s="19"/>
      <c r="B160" s="5"/>
      <c r="C160" s="5"/>
      <c r="D160" s="4"/>
      <c r="E160" s="4"/>
      <c r="F160" s="20" t="str">
        <f aca="false">IF(AND(D160="",E160=""),"",'Start Here'!$B$4+SUM($D$5:D160)+SUM($E$5:E160))</f>
        <v/>
      </c>
      <c r="G160" s="5"/>
    </row>
    <row r="161" customFormat="false" ht="15" hidden="false" customHeight="false" outlineLevel="0" collapsed="false">
      <c r="A161" s="19"/>
      <c r="B161" s="5"/>
      <c r="C161" s="5"/>
      <c r="D161" s="4"/>
      <c r="E161" s="4"/>
      <c r="F161" s="20" t="str">
        <f aca="false">IF(AND(D161="",E161=""),"",'Start Here'!$B$4+SUM($D$5:D161)+SUM($E$5:E161))</f>
        <v/>
      </c>
      <c r="G161" s="5"/>
    </row>
    <row r="162" customFormat="false" ht="15" hidden="false" customHeight="false" outlineLevel="0" collapsed="false">
      <c r="A162" s="19"/>
      <c r="B162" s="5"/>
      <c r="C162" s="5"/>
      <c r="D162" s="4"/>
      <c r="E162" s="4"/>
      <c r="F162" s="20" t="str">
        <f aca="false">IF(AND(D162="",E162=""),"",'Start Here'!$B$4+SUM($D$5:D162)+SUM($E$5:E162))</f>
        <v/>
      </c>
      <c r="G162" s="5"/>
    </row>
    <row r="163" customFormat="false" ht="15" hidden="false" customHeight="false" outlineLevel="0" collapsed="false">
      <c r="A163" s="19"/>
      <c r="B163" s="5"/>
      <c r="C163" s="5"/>
      <c r="D163" s="4"/>
      <c r="E163" s="4"/>
      <c r="F163" s="20" t="str">
        <f aca="false">IF(AND(D163="",E163=""),"",'Start Here'!$B$4+SUM($D$5:D163)+SUM($E$5:E163))</f>
        <v/>
      </c>
      <c r="G163" s="5"/>
    </row>
    <row r="164" customFormat="false" ht="15" hidden="false" customHeight="false" outlineLevel="0" collapsed="false">
      <c r="A164" s="19"/>
      <c r="B164" s="5"/>
      <c r="C164" s="5"/>
      <c r="D164" s="4"/>
      <c r="E164" s="4"/>
      <c r="F164" s="20" t="str">
        <f aca="false">IF(AND(D164="",E164=""),"",'Start Here'!$B$4+SUM($D$5:D164)+SUM($E$5:E164))</f>
        <v/>
      </c>
      <c r="G164" s="5"/>
    </row>
    <row r="165" customFormat="false" ht="15" hidden="false" customHeight="false" outlineLevel="0" collapsed="false">
      <c r="A165" s="19"/>
      <c r="B165" s="5"/>
      <c r="C165" s="5"/>
      <c r="D165" s="4"/>
      <c r="E165" s="4"/>
      <c r="F165" s="20" t="str">
        <f aca="false">IF(AND(D165="",E165=""),"",'Start Here'!$B$4+SUM($D$5:D165)+SUM($E$5:E165))</f>
        <v/>
      </c>
      <c r="G165" s="5"/>
    </row>
    <row r="166" customFormat="false" ht="15" hidden="false" customHeight="false" outlineLevel="0" collapsed="false">
      <c r="A166" s="19"/>
      <c r="B166" s="5"/>
      <c r="C166" s="5"/>
      <c r="D166" s="4"/>
      <c r="E166" s="4"/>
      <c r="F166" s="20" t="str">
        <f aca="false">IF(AND(D166="",E166=""),"",'Start Here'!$B$4+SUM($D$5:D166)+SUM($E$5:E166))</f>
        <v/>
      </c>
      <c r="G166" s="5"/>
    </row>
    <row r="167" customFormat="false" ht="15" hidden="false" customHeight="false" outlineLevel="0" collapsed="false">
      <c r="A167" s="19"/>
      <c r="B167" s="5"/>
      <c r="C167" s="5"/>
      <c r="D167" s="4"/>
      <c r="E167" s="4"/>
      <c r="F167" s="20" t="str">
        <f aca="false">IF(AND(D167="",E167=""),"",'Start Here'!$B$4+SUM($D$5:D167)+SUM($E$5:E167))</f>
        <v/>
      </c>
      <c r="G167" s="5"/>
    </row>
    <row r="168" customFormat="false" ht="15" hidden="false" customHeight="false" outlineLevel="0" collapsed="false">
      <c r="A168" s="19"/>
      <c r="B168" s="5"/>
      <c r="C168" s="5"/>
      <c r="D168" s="4"/>
      <c r="E168" s="4"/>
      <c r="F168" s="20" t="str">
        <f aca="false">IF(AND(D168="",E168=""),"",'Start Here'!$B$4+SUM($D$5:D168)+SUM($E$5:E168))</f>
        <v/>
      </c>
      <c r="G168" s="5"/>
    </row>
    <row r="169" customFormat="false" ht="15" hidden="false" customHeight="false" outlineLevel="0" collapsed="false">
      <c r="A169" s="19"/>
      <c r="B169" s="5"/>
      <c r="C169" s="5"/>
      <c r="D169" s="4"/>
      <c r="E169" s="4"/>
      <c r="F169" s="20" t="str">
        <f aca="false">IF(AND(D169="",E169=""),"",'Start Here'!$B$4+SUM($D$5:D169)+SUM($E$5:E169))</f>
        <v/>
      </c>
      <c r="G169" s="5"/>
    </row>
    <row r="170" customFormat="false" ht="15" hidden="false" customHeight="false" outlineLevel="0" collapsed="false">
      <c r="A170" s="19"/>
      <c r="B170" s="5"/>
      <c r="C170" s="5"/>
      <c r="D170" s="4"/>
      <c r="E170" s="4"/>
      <c r="F170" s="20" t="str">
        <f aca="false">IF(AND(D170="",E170=""),"",'Start Here'!$B$4+SUM($D$5:D170)+SUM($E$5:E170))</f>
        <v/>
      </c>
      <c r="G170" s="5"/>
    </row>
    <row r="171" customFormat="false" ht="15" hidden="false" customHeight="false" outlineLevel="0" collapsed="false">
      <c r="A171" s="19"/>
      <c r="B171" s="5"/>
      <c r="C171" s="5"/>
      <c r="D171" s="4"/>
      <c r="E171" s="4"/>
      <c r="F171" s="20" t="str">
        <f aca="false">IF(AND(D171="",E171=""),"",'Start Here'!$B$4+SUM($D$5:D171)+SUM($E$5:E171))</f>
        <v/>
      </c>
      <c r="G171" s="5"/>
    </row>
    <row r="172" customFormat="false" ht="15" hidden="false" customHeight="false" outlineLevel="0" collapsed="false">
      <c r="A172" s="19"/>
      <c r="B172" s="5"/>
      <c r="C172" s="5"/>
      <c r="D172" s="4"/>
      <c r="E172" s="4"/>
      <c r="F172" s="20" t="str">
        <f aca="false">IF(AND(D172="",E172=""),"",'Start Here'!$B$4+SUM($D$5:D172)+SUM($E$5:E172))</f>
        <v/>
      </c>
      <c r="G172" s="5"/>
    </row>
    <row r="173" customFormat="false" ht="15" hidden="false" customHeight="false" outlineLevel="0" collapsed="false">
      <c r="A173" s="19"/>
      <c r="B173" s="5"/>
      <c r="C173" s="5"/>
      <c r="D173" s="4"/>
      <c r="E173" s="4"/>
      <c r="F173" s="20" t="str">
        <f aca="false">IF(AND(D173="",E173=""),"",'Start Here'!$B$4+SUM($D$5:D173)+SUM($E$5:E173))</f>
        <v/>
      </c>
      <c r="G173" s="5"/>
    </row>
    <row r="174" customFormat="false" ht="15" hidden="false" customHeight="false" outlineLevel="0" collapsed="false">
      <c r="A174" s="19"/>
      <c r="B174" s="5"/>
      <c r="C174" s="5"/>
      <c r="D174" s="4"/>
      <c r="E174" s="4"/>
      <c r="F174" s="20" t="str">
        <f aca="false">IF(AND(D174="",E174=""),"",'Start Here'!$B$4+SUM($D$5:D174)+SUM($E$5:E174))</f>
        <v/>
      </c>
      <c r="G174" s="5"/>
    </row>
    <row r="175" customFormat="false" ht="15" hidden="false" customHeight="false" outlineLevel="0" collapsed="false">
      <c r="A175" s="19"/>
      <c r="B175" s="5"/>
      <c r="C175" s="5"/>
      <c r="D175" s="4"/>
      <c r="E175" s="4"/>
      <c r="F175" s="20" t="str">
        <f aca="false">IF(AND(D175="",E175=""),"",'Start Here'!$B$4+SUM($D$5:D175)+SUM($E$5:E175))</f>
        <v/>
      </c>
      <c r="G175" s="5"/>
    </row>
    <row r="176" customFormat="false" ht="15" hidden="false" customHeight="false" outlineLevel="0" collapsed="false">
      <c r="A176" s="19"/>
      <c r="B176" s="5"/>
      <c r="C176" s="5"/>
      <c r="D176" s="4"/>
      <c r="E176" s="4"/>
      <c r="F176" s="20" t="str">
        <f aca="false">IF(AND(D176="",E176=""),"",'Start Here'!$B$4+SUM($D$5:D176)+SUM($E$5:E176))</f>
        <v/>
      </c>
      <c r="G176" s="5"/>
    </row>
    <row r="177" customFormat="false" ht="15" hidden="false" customHeight="false" outlineLevel="0" collapsed="false">
      <c r="A177" s="19"/>
      <c r="B177" s="5"/>
      <c r="C177" s="5"/>
      <c r="D177" s="4"/>
      <c r="E177" s="4"/>
      <c r="F177" s="20" t="str">
        <f aca="false">IF(AND(D177="",E177=""),"",'Start Here'!$B$4+SUM($D$5:D177)+SUM($E$5:E177))</f>
        <v/>
      </c>
      <c r="G177" s="5"/>
    </row>
    <row r="178" customFormat="false" ht="15" hidden="false" customHeight="false" outlineLevel="0" collapsed="false">
      <c r="A178" s="19"/>
      <c r="B178" s="5"/>
      <c r="C178" s="5"/>
      <c r="D178" s="4"/>
      <c r="E178" s="4"/>
      <c r="F178" s="20" t="str">
        <f aca="false">IF(AND(D178="",E178=""),"",'Start Here'!$B$4+SUM($D$5:D178)+SUM($E$5:E178))</f>
        <v/>
      </c>
      <c r="G178" s="5"/>
    </row>
    <row r="179" customFormat="false" ht="15" hidden="false" customHeight="false" outlineLevel="0" collapsed="false">
      <c r="A179" s="19"/>
      <c r="B179" s="5"/>
      <c r="C179" s="5"/>
      <c r="D179" s="4"/>
      <c r="E179" s="4"/>
      <c r="F179" s="20" t="str">
        <f aca="false">IF(AND(D179="",E179=""),"",'Start Here'!$B$4+SUM($D$5:D179)+SUM($E$5:E179))</f>
        <v/>
      </c>
      <c r="G179" s="5"/>
    </row>
    <row r="180" customFormat="false" ht="15" hidden="false" customHeight="false" outlineLevel="0" collapsed="false">
      <c r="A180" s="19"/>
      <c r="B180" s="5"/>
      <c r="C180" s="5"/>
      <c r="D180" s="4"/>
      <c r="E180" s="4"/>
      <c r="F180" s="20" t="str">
        <f aca="false">IF(AND(D180="",E180=""),"",'Start Here'!$B$4+SUM($D$5:D180)+SUM($E$5:E180))</f>
        <v/>
      </c>
      <c r="G180" s="5"/>
    </row>
    <row r="181" customFormat="false" ht="15" hidden="false" customHeight="false" outlineLevel="0" collapsed="false">
      <c r="A181" s="19"/>
      <c r="B181" s="5"/>
      <c r="C181" s="5"/>
      <c r="D181" s="4"/>
      <c r="E181" s="4"/>
      <c r="F181" s="20" t="str">
        <f aca="false">IF(AND(D181="",E181=""),"",'Start Here'!$B$4+SUM($D$5:D181)+SUM($E$5:E181))</f>
        <v/>
      </c>
      <c r="G181" s="5"/>
    </row>
    <row r="182" customFormat="false" ht="15" hidden="false" customHeight="false" outlineLevel="0" collapsed="false">
      <c r="A182" s="19"/>
      <c r="B182" s="5"/>
      <c r="C182" s="5"/>
      <c r="D182" s="4"/>
      <c r="E182" s="4"/>
      <c r="F182" s="20" t="str">
        <f aca="false">IF(AND(D182="",E182=""),"",'Start Here'!$B$4+SUM($D$5:D182)+SUM($E$5:E182))</f>
        <v/>
      </c>
      <c r="G182" s="5"/>
    </row>
    <row r="183" customFormat="false" ht="15" hidden="false" customHeight="false" outlineLevel="0" collapsed="false">
      <c r="A183" s="19"/>
      <c r="B183" s="5"/>
      <c r="C183" s="5"/>
      <c r="D183" s="4"/>
      <c r="E183" s="4"/>
      <c r="F183" s="20" t="str">
        <f aca="false">IF(AND(D183="",E183=""),"",'Start Here'!$B$4+SUM($D$5:D183)+SUM($E$5:E183))</f>
        <v/>
      </c>
      <c r="G183" s="5"/>
    </row>
    <row r="184" customFormat="false" ht="15" hidden="false" customHeight="false" outlineLevel="0" collapsed="false">
      <c r="A184" s="19"/>
      <c r="B184" s="5"/>
      <c r="C184" s="5"/>
      <c r="D184" s="4"/>
      <c r="E184" s="4"/>
      <c r="F184" s="20" t="str">
        <f aca="false">IF(AND(D184="",E184=""),"",'Start Here'!$B$4+SUM($D$5:D184)+SUM($E$5:E184))</f>
        <v/>
      </c>
      <c r="G184" s="5"/>
    </row>
    <row r="185" customFormat="false" ht="15" hidden="false" customHeight="false" outlineLevel="0" collapsed="false">
      <c r="A185" s="19"/>
      <c r="B185" s="5"/>
      <c r="C185" s="5"/>
      <c r="D185" s="4"/>
      <c r="E185" s="4"/>
      <c r="F185" s="20" t="str">
        <f aca="false">IF(AND(D185="",E185=""),"",'Start Here'!$B$4+SUM($D$5:D185)+SUM($E$5:E185))</f>
        <v/>
      </c>
      <c r="G185" s="5"/>
    </row>
    <row r="186" customFormat="false" ht="15" hidden="false" customHeight="false" outlineLevel="0" collapsed="false">
      <c r="A186" s="19"/>
      <c r="B186" s="5"/>
      <c r="C186" s="5"/>
      <c r="D186" s="4"/>
      <c r="E186" s="4"/>
      <c r="F186" s="20" t="str">
        <f aca="false">IF(AND(D186="",E186=""),"",'Start Here'!$B$4+SUM($D$5:D186)+SUM($E$5:E186))</f>
        <v/>
      </c>
      <c r="G186" s="5"/>
    </row>
    <row r="187" customFormat="false" ht="15" hidden="false" customHeight="false" outlineLevel="0" collapsed="false">
      <c r="A187" s="19"/>
      <c r="B187" s="5"/>
      <c r="C187" s="5"/>
      <c r="D187" s="4"/>
      <c r="E187" s="4"/>
      <c r="F187" s="20" t="str">
        <f aca="false">IF(AND(D187="",E187=""),"",'Start Here'!$B$4+SUM($D$5:D187)+SUM($E$5:E187))</f>
        <v/>
      </c>
      <c r="G187" s="5"/>
    </row>
    <row r="188" customFormat="false" ht="15" hidden="false" customHeight="false" outlineLevel="0" collapsed="false">
      <c r="A188" s="19"/>
      <c r="B188" s="5"/>
      <c r="C188" s="5"/>
      <c r="D188" s="4"/>
      <c r="E188" s="4"/>
      <c r="F188" s="20" t="str">
        <f aca="false">IF(AND(D188="",E188=""),"",'Start Here'!$B$4+SUM($D$5:D188)+SUM($E$5:E188))</f>
        <v/>
      </c>
      <c r="G188" s="5"/>
    </row>
    <row r="189" customFormat="false" ht="15" hidden="false" customHeight="false" outlineLevel="0" collapsed="false">
      <c r="A189" s="19"/>
      <c r="B189" s="5"/>
      <c r="C189" s="5"/>
      <c r="D189" s="4"/>
      <c r="E189" s="4"/>
      <c r="F189" s="20" t="str">
        <f aca="false">IF(AND(D189="",E189=""),"",'Start Here'!$B$4+SUM($D$5:D189)+SUM($E$5:E189))</f>
        <v/>
      </c>
      <c r="G189" s="5"/>
    </row>
    <row r="190" customFormat="false" ht="15" hidden="false" customHeight="false" outlineLevel="0" collapsed="false">
      <c r="A190" s="19"/>
      <c r="B190" s="5"/>
      <c r="C190" s="5"/>
      <c r="D190" s="4"/>
      <c r="E190" s="4"/>
      <c r="F190" s="20" t="str">
        <f aca="false">IF(AND(D190="",E190=""),"",'Start Here'!$B$4+SUM($D$5:D190)+SUM($E$5:E190))</f>
        <v/>
      </c>
      <c r="G190" s="5"/>
    </row>
    <row r="191" customFormat="false" ht="15" hidden="false" customHeight="false" outlineLevel="0" collapsed="false">
      <c r="A191" s="19"/>
      <c r="B191" s="5"/>
      <c r="C191" s="5"/>
      <c r="D191" s="4"/>
      <c r="E191" s="4"/>
      <c r="F191" s="20" t="str">
        <f aca="false">IF(AND(D191="",E191=""),"",'Start Here'!$B$4+SUM($D$5:D191)+SUM($E$5:E191))</f>
        <v/>
      </c>
      <c r="G191" s="5"/>
    </row>
    <row r="192" customFormat="false" ht="15" hidden="false" customHeight="false" outlineLevel="0" collapsed="false">
      <c r="A192" s="19"/>
      <c r="B192" s="5"/>
      <c r="C192" s="5"/>
      <c r="D192" s="4"/>
      <c r="E192" s="4"/>
      <c r="F192" s="20" t="str">
        <f aca="false">IF(AND(D192="",E192=""),"",'Start Here'!$B$4+SUM($D$5:D192)+SUM($E$5:E192))</f>
        <v/>
      </c>
      <c r="G192" s="5"/>
    </row>
    <row r="193" customFormat="false" ht="15" hidden="false" customHeight="false" outlineLevel="0" collapsed="false">
      <c r="A193" s="19"/>
      <c r="B193" s="5"/>
      <c r="C193" s="5"/>
      <c r="D193" s="4"/>
      <c r="E193" s="4"/>
      <c r="F193" s="20" t="str">
        <f aca="false">IF(AND(D193="",E193=""),"",'Start Here'!$B$4+SUM($D$5:D193)+SUM($E$5:E193))</f>
        <v/>
      </c>
      <c r="G193" s="5"/>
    </row>
    <row r="194" customFormat="false" ht="15" hidden="false" customHeight="false" outlineLevel="0" collapsed="false">
      <c r="A194" s="19"/>
      <c r="B194" s="5"/>
      <c r="C194" s="5"/>
      <c r="D194" s="4"/>
      <c r="E194" s="4"/>
      <c r="F194" s="20" t="str">
        <f aca="false">IF(AND(D194="",E194=""),"",'Start Here'!$B$4+SUM($D$5:D194)+SUM($E$5:E194))</f>
        <v/>
      </c>
      <c r="G194" s="5"/>
    </row>
    <row r="195" customFormat="false" ht="15" hidden="false" customHeight="false" outlineLevel="0" collapsed="false">
      <c r="A195" s="19"/>
      <c r="B195" s="5"/>
      <c r="C195" s="5"/>
      <c r="D195" s="4"/>
      <c r="E195" s="4"/>
      <c r="F195" s="20" t="str">
        <f aca="false">IF(AND(D195="",E195=""),"",'Start Here'!$B$4+SUM($D$5:D195)+SUM($E$5:E195))</f>
        <v/>
      </c>
      <c r="G195" s="5"/>
    </row>
    <row r="196" customFormat="false" ht="15" hidden="false" customHeight="false" outlineLevel="0" collapsed="false">
      <c r="A196" s="19"/>
      <c r="B196" s="5"/>
      <c r="C196" s="5"/>
      <c r="D196" s="4"/>
      <c r="E196" s="4"/>
      <c r="F196" s="20" t="str">
        <f aca="false">IF(AND(D196="",E196=""),"",'Start Here'!$B$4+SUM($D$5:D196)+SUM($E$5:E196))</f>
        <v/>
      </c>
      <c r="G196" s="5"/>
    </row>
    <row r="197" customFormat="false" ht="15" hidden="false" customHeight="false" outlineLevel="0" collapsed="false">
      <c r="A197" s="19"/>
      <c r="B197" s="5"/>
      <c r="C197" s="5"/>
      <c r="D197" s="4"/>
      <c r="E197" s="4"/>
      <c r="F197" s="20" t="str">
        <f aca="false">IF(AND(D197="",E197=""),"",'Start Here'!$B$4+SUM($D$5:D197)+SUM($E$5:E197))</f>
        <v/>
      </c>
      <c r="G197" s="5"/>
    </row>
    <row r="198" customFormat="false" ht="15" hidden="false" customHeight="false" outlineLevel="0" collapsed="false">
      <c r="A198" s="19"/>
      <c r="B198" s="5"/>
      <c r="C198" s="5"/>
      <c r="D198" s="4"/>
      <c r="E198" s="4"/>
      <c r="F198" s="20" t="str">
        <f aca="false">IF(AND(D198="",E198=""),"",'Start Here'!$B$4+SUM($D$5:D198)+SUM($E$5:E198))</f>
        <v/>
      </c>
      <c r="G198" s="5"/>
    </row>
    <row r="199" customFormat="false" ht="15" hidden="false" customHeight="false" outlineLevel="0" collapsed="false">
      <c r="A199" s="19"/>
      <c r="B199" s="5"/>
      <c r="C199" s="5"/>
      <c r="D199" s="4"/>
      <c r="E199" s="4"/>
      <c r="F199" s="20" t="str">
        <f aca="false">IF(AND(D199="",E199=""),"",'Start Here'!$B$4+SUM($D$5:D199)+SUM($E$5:E199))</f>
        <v/>
      </c>
      <c r="G199" s="5"/>
    </row>
    <row r="200" customFormat="false" ht="15" hidden="false" customHeight="false" outlineLevel="0" collapsed="false">
      <c r="A200" s="19"/>
      <c r="B200" s="5"/>
      <c r="C200" s="5"/>
      <c r="D200" s="4"/>
      <c r="E200" s="4"/>
      <c r="F200" s="20" t="str">
        <f aca="false">IF(AND(D200="",E200=""),"",'Start Here'!$B$4+SUM($D$5:D200)+SUM($E$5:E200))</f>
        <v/>
      </c>
      <c r="G200" s="5"/>
    </row>
    <row r="201" customFormat="false" ht="15" hidden="false" customHeight="false" outlineLevel="0" collapsed="false">
      <c r="A201" s="19"/>
      <c r="B201" s="5"/>
      <c r="C201" s="5"/>
      <c r="D201" s="4"/>
      <c r="E201" s="4"/>
      <c r="F201" s="20" t="str">
        <f aca="false">IF(AND(D201="",E201=""),"",'Start Here'!$B$4+SUM($D$5:D201)+SUM($E$5:E201))</f>
        <v/>
      </c>
      <c r="G201" s="5"/>
    </row>
    <row r="202" customFormat="false" ht="15" hidden="false" customHeight="false" outlineLevel="0" collapsed="false">
      <c r="A202" s="19"/>
      <c r="B202" s="5"/>
      <c r="C202" s="5"/>
      <c r="D202" s="4"/>
      <c r="E202" s="4"/>
      <c r="F202" s="20" t="str">
        <f aca="false">IF(AND(D202="",E202=""),"",'Start Here'!$B$4+SUM($D$5:D202)+SUM($E$5:E202))</f>
        <v/>
      </c>
      <c r="G202" s="5"/>
    </row>
    <row r="203" customFormat="false" ht="15" hidden="false" customHeight="false" outlineLevel="0" collapsed="false">
      <c r="A203" s="19"/>
      <c r="B203" s="5"/>
      <c r="C203" s="5"/>
      <c r="D203" s="4"/>
      <c r="E203" s="4"/>
      <c r="F203" s="20" t="str">
        <f aca="false">IF(AND(D203="",E203=""),"",'Start Here'!$B$4+SUM($D$5:D203)+SUM($E$5:E203))</f>
        <v/>
      </c>
      <c r="G203" s="5"/>
    </row>
    <row r="204" customFormat="false" ht="15" hidden="false" customHeight="false" outlineLevel="0" collapsed="false">
      <c r="A204" s="19"/>
      <c r="B204" s="5"/>
      <c r="C204" s="5"/>
      <c r="D204" s="4"/>
      <c r="E204" s="4"/>
      <c r="F204" s="20" t="str">
        <f aca="false">IF(AND(D204="",E204=""),"",'Start Here'!$B$4+SUM($D$5:D204)+SUM($E$5:E204))</f>
        <v/>
      </c>
      <c r="G204" s="5"/>
    </row>
    <row r="205" customFormat="false" ht="15" hidden="false" customHeight="false" outlineLevel="0" collapsed="false">
      <c r="A205" s="19"/>
      <c r="B205" s="5"/>
      <c r="C205" s="5"/>
      <c r="D205" s="4"/>
      <c r="E205" s="4"/>
      <c r="F205" s="20" t="str">
        <f aca="false">IF(AND(D205="",E205=""),"",'Start Here'!$B$4+SUM($D$5:D205)+SUM($E$5:E205))</f>
        <v/>
      </c>
      <c r="G205" s="5"/>
    </row>
    <row r="206" customFormat="false" ht="15" hidden="false" customHeight="false" outlineLevel="0" collapsed="false">
      <c r="A206" s="19"/>
      <c r="B206" s="5"/>
      <c r="C206" s="5"/>
      <c r="D206" s="4"/>
      <c r="E206" s="4"/>
      <c r="F206" s="20" t="str">
        <f aca="false">IF(AND(D206="",E206=""),"",'Start Here'!$B$4+SUM($D$5:D206)+SUM($E$5:E206))</f>
        <v/>
      </c>
      <c r="G206" s="5"/>
    </row>
    <row r="207" customFormat="false" ht="15" hidden="false" customHeight="false" outlineLevel="0" collapsed="false">
      <c r="A207" s="19"/>
      <c r="B207" s="5"/>
      <c r="C207" s="5"/>
      <c r="D207" s="4"/>
      <c r="E207" s="4"/>
      <c r="F207" s="20" t="str">
        <f aca="false">IF(AND(D207="",E207=""),"",'Start Here'!$B$4+SUM($D$5:D207)+SUM($E$5:E207))</f>
        <v/>
      </c>
      <c r="G207" s="5"/>
    </row>
    <row r="208" customFormat="false" ht="15" hidden="false" customHeight="false" outlineLevel="0" collapsed="false">
      <c r="A208" s="19"/>
      <c r="B208" s="5"/>
      <c r="C208" s="5"/>
      <c r="D208" s="4"/>
      <c r="E208" s="4"/>
      <c r="F208" s="20" t="str">
        <f aca="false">IF(AND(D208="",E208=""),"",'Start Here'!$B$4+SUM($D$5:D208)+SUM($E$5:E208))</f>
        <v/>
      </c>
      <c r="G208" s="5"/>
    </row>
    <row r="209" customFormat="false" ht="15" hidden="false" customHeight="false" outlineLevel="0" collapsed="false">
      <c r="A209" s="19"/>
      <c r="B209" s="5"/>
      <c r="C209" s="5"/>
      <c r="D209" s="4"/>
      <c r="E209" s="4"/>
      <c r="F209" s="20" t="str">
        <f aca="false">IF(AND(D209="",E209=""),"",'Start Here'!$B$4+SUM($D$5:D209)+SUM($E$5:E209))</f>
        <v/>
      </c>
      <c r="G209" s="5"/>
    </row>
    <row r="210" customFormat="false" ht="15" hidden="false" customHeight="false" outlineLevel="0" collapsed="false">
      <c r="A210" s="19"/>
      <c r="B210" s="5"/>
      <c r="C210" s="5"/>
      <c r="D210" s="4"/>
      <c r="E210" s="4"/>
      <c r="F210" s="20" t="str">
        <f aca="false">IF(AND(D210="",E210=""),"",'Start Here'!$B$4+SUM($D$5:D210)+SUM($E$5:E210))</f>
        <v/>
      </c>
      <c r="G210" s="5"/>
    </row>
    <row r="211" customFormat="false" ht="15" hidden="false" customHeight="false" outlineLevel="0" collapsed="false">
      <c r="A211" s="19"/>
      <c r="B211" s="5"/>
      <c r="C211" s="5"/>
      <c r="D211" s="4"/>
      <c r="E211" s="4"/>
      <c r="F211" s="20" t="str">
        <f aca="false">IF(AND(D211="",E211=""),"",'Start Here'!$B$4+SUM($D$5:D211)+SUM($E$5:E211))</f>
        <v/>
      </c>
      <c r="G211" s="5"/>
    </row>
    <row r="212" customFormat="false" ht="15" hidden="false" customHeight="false" outlineLevel="0" collapsed="false">
      <c r="A212" s="19"/>
      <c r="B212" s="5"/>
      <c r="C212" s="5"/>
      <c r="D212" s="4"/>
      <c r="E212" s="4"/>
      <c r="F212" s="20" t="str">
        <f aca="false">IF(AND(D212="",E212=""),"",'Start Here'!$B$4+SUM($D$5:D212)+SUM($E$5:E212))</f>
        <v/>
      </c>
      <c r="G212" s="5"/>
    </row>
    <row r="213" customFormat="false" ht="15" hidden="false" customHeight="false" outlineLevel="0" collapsed="false">
      <c r="A213" s="19"/>
      <c r="B213" s="5"/>
      <c r="C213" s="5"/>
      <c r="D213" s="4"/>
      <c r="E213" s="4"/>
      <c r="F213" s="20" t="str">
        <f aca="false">IF(AND(D213="",E213=""),"",'Start Here'!$B$4+SUM($D$5:D213)+SUM($E$5:E213))</f>
        <v/>
      </c>
      <c r="G213" s="5"/>
    </row>
    <row r="214" customFormat="false" ht="15" hidden="false" customHeight="false" outlineLevel="0" collapsed="false">
      <c r="A214" s="19"/>
      <c r="B214" s="5"/>
      <c r="C214" s="5"/>
      <c r="D214" s="4"/>
      <c r="E214" s="4"/>
      <c r="F214" s="20" t="str">
        <f aca="false">IF(AND(D214="",E214=""),"",'Start Here'!$B$4+SUM($D$5:D214)+SUM($E$5:E214))</f>
        <v/>
      </c>
      <c r="G214" s="5"/>
    </row>
    <row r="215" customFormat="false" ht="15" hidden="false" customHeight="false" outlineLevel="0" collapsed="false">
      <c r="A215" s="19"/>
      <c r="B215" s="5"/>
      <c r="C215" s="5"/>
      <c r="D215" s="4"/>
      <c r="E215" s="4"/>
      <c r="F215" s="20" t="str">
        <f aca="false">IF(AND(D215="",E215=""),"",'Start Here'!$B$4+SUM($D$5:D215)+SUM($E$5:E215))</f>
        <v/>
      </c>
      <c r="G215" s="5"/>
    </row>
    <row r="216" customFormat="false" ht="15" hidden="false" customHeight="false" outlineLevel="0" collapsed="false">
      <c r="A216" s="19"/>
      <c r="B216" s="5"/>
      <c r="C216" s="5"/>
      <c r="D216" s="4"/>
      <c r="E216" s="4"/>
      <c r="F216" s="20" t="str">
        <f aca="false">IF(AND(D216="",E216=""),"",'Start Here'!$B$4+SUM($D$5:D216)+SUM($E$5:E216))</f>
        <v/>
      </c>
      <c r="G216" s="5"/>
    </row>
    <row r="217" customFormat="false" ht="15" hidden="false" customHeight="false" outlineLevel="0" collapsed="false">
      <c r="A217" s="19"/>
      <c r="B217" s="5"/>
      <c r="C217" s="5"/>
      <c r="D217" s="4"/>
      <c r="E217" s="4"/>
      <c r="F217" s="20" t="str">
        <f aca="false">IF(AND(D217="",E217=""),"",'Start Here'!$B$4+SUM($D$5:D217)+SUM($E$5:E217))</f>
        <v/>
      </c>
      <c r="G217" s="5"/>
    </row>
    <row r="218" customFormat="false" ht="15" hidden="false" customHeight="false" outlineLevel="0" collapsed="false">
      <c r="A218" s="19"/>
      <c r="B218" s="5"/>
      <c r="C218" s="5"/>
      <c r="D218" s="4"/>
      <c r="E218" s="4"/>
      <c r="F218" s="20" t="str">
        <f aca="false">IF(AND(D218="",E218=""),"",'Start Here'!$B$4+SUM($D$5:D218)+SUM($E$5:E218))</f>
        <v/>
      </c>
      <c r="G218" s="5"/>
    </row>
    <row r="219" customFormat="false" ht="15" hidden="false" customHeight="false" outlineLevel="0" collapsed="false">
      <c r="A219" s="19"/>
      <c r="B219" s="5"/>
      <c r="C219" s="5"/>
      <c r="D219" s="4"/>
      <c r="E219" s="4"/>
      <c r="F219" s="20" t="str">
        <f aca="false">IF(AND(D219="",E219=""),"",'Start Here'!$B$4+SUM($D$5:D219)+SUM($E$5:E219))</f>
        <v/>
      </c>
      <c r="G219" s="5"/>
    </row>
    <row r="220" customFormat="false" ht="15" hidden="false" customHeight="false" outlineLevel="0" collapsed="false">
      <c r="A220" s="19"/>
      <c r="B220" s="5"/>
      <c r="C220" s="5"/>
      <c r="D220" s="4"/>
      <c r="E220" s="4"/>
      <c r="F220" s="20" t="str">
        <f aca="false">IF(AND(D220="",E220=""),"",'Start Here'!$B$4+SUM($D$5:D220)+SUM($E$5:E220))</f>
        <v/>
      </c>
      <c r="G220" s="5"/>
    </row>
    <row r="221" customFormat="false" ht="15" hidden="false" customHeight="false" outlineLevel="0" collapsed="false">
      <c r="A221" s="19"/>
      <c r="B221" s="5"/>
      <c r="C221" s="5"/>
      <c r="D221" s="4"/>
      <c r="E221" s="4"/>
      <c r="F221" s="20" t="str">
        <f aca="false">IF(AND(D221="",E221=""),"",'Start Here'!$B$4+SUM($D$5:D221)+SUM($E$5:E221))</f>
        <v/>
      </c>
      <c r="G221" s="5"/>
    </row>
    <row r="222" customFormat="false" ht="15" hidden="false" customHeight="false" outlineLevel="0" collapsed="false">
      <c r="A222" s="19"/>
      <c r="B222" s="5"/>
      <c r="C222" s="5"/>
      <c r="D222" s="4"/>
      <c r="E222" s="4"/>
      <c r="F222" s="20" t="str">
        <f aca="false">IF(AND(D222="",E222=""),"",'Start Here'!$B$4+SUM($D$5:D222)+SUM($E$5:E222))</f>
        <v/>
      </c>
      <c r="G222" s="5"/>
    </row>
    <row r="223" customFormat="false" ht="15" hidden="false" customHeight="false" outlineLevel="0" collapsed="false">
      <c r="A223" s="19"/>
      <c r="B223" s="5"/>
      <c r="C223" s="5"/>
      <c r="D223" s="4"/>
      <c r="E223" s="4"/>
      <c r="F223" s="20" t="str">
        <f aca="false">IF(AND(D223="",E223=""),"",'Start Here'!$B$4+SUM($D$5:D223)+SUM($E$5:E223))</f>
        <v/>
      </c>
      <c r="G223" s="5"/>
    </row>
    <row r="224" customFormat="false" ht="15" hidden="false" customHeight="false" outlineLevel="0" collapsed="false">
      <c r="A224" s="19"/>
      <c r="B224" s="5"/>
      <c r="C224" s="5"/>
      <c r="D224" s="4"/>
      <c r="E224" s="4"/>
      <c r="F224" s="20" t="str">
        <f aca="false">IF(AND(D224="",E224=""),"",'Start Here'!$B$4+SUM($D$5:D224)+SUM($E$5:E224))</f>
        <v/>
      </c>
      <c r="G224" s="5"/>
    </row>
    <row r="225" customFormat="false" ht="15" hidden="false" customHeight="false" outlineLevel="0" collapsed="false">
      <c r="A225" s="19"/>
      <c r="B225" s="5"/>
      <c r="C225" s="5"/>
      <c r="D225" s="4"/>
      <c r="E225" s="4"/>
      <c r="F225" s="20" t="str">
        <f aca="false">IF(AND(D225="",E225=""),"",'Start Here'!$B$4+SUM($D$5:D225)+SUM($E$5:E225))</f>
        <v/>
      </c>
      <c r="G225" s="5"/>
    </row>
    <row r="226" customFormat="false" ht="15" hidden="false" customHeight="false" outlineLevel="0" collapsed="false">
      <c r="A226" s="19"/>
      <c r="B226" s="5"/>
      <c r="C226" s="5"/>
      <c r="D226" s="4"/>
      <c r="E226" s="4"/>
      <c r="F226" s="20" t="str">
        <f aca="false">IF(AND(D226="",E226=""),"",'Start Here'!$B$4+SUM($D$5:D226)+SUM($E$5:E226))</f>
        <v/>
      </c>
      <c r="G226" s="5"/>
    </row>
    <row r="227" customFormat="false" ht="15" hidden="false" customHeight="false" outlineLevel="0" collapsed="false">
      <c r="A227" s="19"/>
      <c r="B227" s="5"/>
      <c r="C227" s="5"/>
      <c r="D227" s="4"/>
      <c r="E227" s="4"/>
      <c r="F227" s="20" t="str">
        <f aca="false">IF(AND(D227="",E227=""),"",'Start Here'!$B$4+SUM($D$5:D227)+SUM($E$5:E227))</f>
        <v/>
      </c>
      <c r="G227" s="5"/>
    </row>
    <row r="228" customFormat="false" ht="15" hidden="false" customHeight="false" outlineLevel="0" collapsed="false">
      <c r="A228" s="19"/>
      <c r="B228" s="5"/>
      <c r="C228" s="5"/>
      <c r="D228" s="4"/>
      <c r="E228" s="4"/>
      <c r="F228" s="20" t="str">
        <f aca="false">IF(AND(D228="",E228=""),"",'Start Here'!$B$4+SUM($D$5:D228)+SUM($E$5:E228))</f>
        <v/>
      </c>
      <c r="G228" s="5"/>
    </row>
    <row r="229" customFormat="false" ht="15" hidden="false" customHeight="false" outlineLevel="0" collapsed="false">
      <c r="A229" s="19"/>
      <c r="B229" s="5"/>
      <c r="C229" s="5"/>
      <c r="D229" s="4"/>
      <c r="E229" s="4"/>
      <c r="F229" s="20" t="str">
        <f aca="false">IF(AND(D229="",E229=""),"",'Start Here'!$B$4+SUM($D$5:D229)+SUM($E$5:E229))</f>
        <v/>
      </c>
      <c r="G229" s="5"/>
    </row>
    <row r="230" customFormat="false" ht="15" hidden="false" customHeight="false" outlineLevel="0" collapsed="false">
      <c r="A230" s="19"/>
      <c r="B230" s="5"/>
      <c r="C230" s="5"/>
      <c r="D230" s="4"/>
      <c r="E230" s="4"/>
      <c r="F230" s="20" t="str">
        <f aca="false">IF(AND(D230="",E230=""),"",'Start Here'!$B$4+SUM($D$5:D230)+SUM($E$5:E230))</f>
        <v/>
      </c>
      <c r="G230" s="5"/>
    </row>
    <row r="231" customFormat="false" ht="15" hidden="false" customHeight="false" outlineLevel="0" collapsed="false">
      <c r="A231" s="19"/>
      <c r="B231" s="5"/>
      <c r="C231" s="5"/>
      <c r="D231" s="4"/>
      <c r="E231" s="4"/>
      <c r="F231" s="20" t="str">
        <f aca="false">IF(AND(D231="",E231=""),"",'Start Here'!$B$4+SUM($D$5:D231)+SUM($E$5:E231))</f>
        <v/>
      </c>
      <c r="G231" s="5"/>
    </row>
    <row r="232" customFormat="false" ht="15" hidden="false" customHeight="false" outlineLevel="0" collapsed="false">
      <c r="A232" s="19"/>
      <c r="B232" s="5"/>
      <c r="C232" s="5"/>
      <c r="D232" s="4"/>
      <c r="E232" s="4"/>
      <c r="F232" s="20" t="str">
        <f aca="false">IF(AND(D232="",E232=""),"",'Start Here'!$B$4+SUM($D$5:D232)+SUM($E$5:E232))</f>
        <v/>
      </c>
      <c r="G232" s="5"/>
    </row>
    <row r="233" customFormat="false" ht="15" hidden="false" customHeight="false" outlineLevel="0" collapsed="false">
      <c r="A233" s="19"/>
      <c r="B233" s="5"/>
      <c r="C233" s="5"/>
      <c r="D233" s="4"/>
      <c r="E233" s="4"/>
      <c r="F233" s="20" t="str">
        <f aca="false">IF(AND(D233="",E233=""),"",'Start Here'!$B$4+SUM($D$5:D233)+SUM($E$5:E233))</f>
        <v/>
      </c>
      <c r="G233" s="5"/>
    </row>
    <row r="234" customFormat="false" ht="15" hidden="false" customHeight="false" outlineLevel="0" collapsed="false">
      <c r="A234" s="19"/>
      <c r="B234" s="5"/>
      <c r="C234" s="5"/>
      <c r="D234" s="4"/>
      <c r="E234" s="4"/>
      <c r="F234" s="20" t="str">
        <f aca="false">IF(AND(D234="",E234=""),"",'Start Here'!$B$4+SUM($D$5:D234)+SUM($E$5:E234))</f>
        <v/>
      </c>
      <c r="G234" s="5"/>
    </row>
    <row r="235" customFormat="false" ht="15" hidden="false" customHeight="false" outlineLevel="0" collapsed="false">
      <c r="A235" s="19"/>
      <c r="B235" s="5"/>
      <c r="C235" s="5"/>
      <c r="D235" s="4"/>
      <c r="E235" s="4"/>
      <c r="F235" s="20" t="str">
        <f aca="false">IF(AND(D235="",E235=""),"",'Start Here'!$B$4+SUM($D$5:D235)+SUM($E$5:E235))</f>
        <v/>
      </c>
      <c r="G235" s="5"/>
    </row>
    <row r="236" customFormat="false" ht="15" hidden="false" customHeight="false" outlineLevel="0" collapsed="false">
      <c r="A236" s="19"/>
      <c r="B236" s="5"/>
      <c r="C236" s="5"/>
      <c r="D236" s="4"/>
      <c r="E236" s="4"/>
      <c r="F236" s="20" t="str">
        <f aca="false">IF(AND(D236="",E236=""),"",'Start Here'!$B$4+SUM($D$5:D236)+SUM($E$5:E236))</f>
        <v/>
      </c>
      <c r="G236" s="5"/>
    </row>
    <row r="237" customFormat="false" ht="15" hidden="false" customHeight="false" outlineLevel="0" collapsed="false">
      <c r="A237" s="19"/>
      <c r="B237" s="5"/>
      <c r="C237" s="5"/>
      <c r="D237" s="4"/>
      <c r="E237" s="4"/>
      <c r="F237" s="20" t="str">
        <f aca="false">IF(AND(D237="",E237=""),"",'Start Here'!$B$4+SUM($D$5:D237)+SUM($E$5:E237))</f>
        <v/>
      </c>
      <c r="G237" s="5"/>
    </row>
    <row r="238" customFormat="false" ht="15" hidden="false" customHeight="false" outlineLevel="0" collapsed="false">
      <c r="A238" s="19"/>
      <c r="B238" s="5"/>
      <c r="C238" s="5"/>
      <c r="D238" s="4"/>
      <c r="E238" s="4"/>
      <c r="F238" s="20" t="str">
        <f aca="false">IF(AND(D238="",E238=""),"",'Start Here'!$B$4+SUM($D$5:D238)+SUM($E$5:E238))</f>
        <v/>
      </c>
      <c r="G238" s="5"/>
    </row>
    <row r="239" customFormat="false" ht="15" hidden="false" customHeight="false" outlineLevel="0" collapsed="false">
      <c r="A239" s="19"/>
      <c r="B239" s="5"/>
      <c r="C239" s="5"/>
      <c r="D239" s="4"/>
      <c r="E239" s="4"/>
      <c r="F239" s="20" t="str">
        <f aca="false">IF(AND(D239="",E239=""),"",'Start Here'!$B$4+SUM($D$5:D239)+SUM($E$5:E239))</f>
        <v/>
      </c>
      <c r="G239" s="5"/>
    </row>
    <row r="240" customFormat="false" ht="15" hidden="false" customHeight="false" outlineLevel="0" collapsed="false">
      <c r="A240" s="19"/>
      <c r="B240" s="5"/>
      <c r="C240" s="5"/>
      <c r="D240" s="4"/>
      <c r="E240" s="4"/>
      <c r="F240" s="20" t="str">
        <f aca="false">IF(AND(D240="",E240=""),"",'Start Here'!$B$4+SUM($D$5:D240)+SUM($E$5:E240))</f>
        <v/>
      </c>
      <c r="G240" s="5"/>
    </row>
    <row r="241" customFormat="false" ht="15" hidden="false" customHeight="false" outlineLevel="0" collapsed="false">
      <c r="A241" s="19"/>
      <c r="B241" s="5"/>
      <c r="C241" s="5"/>
      <c r="D241" s="4"/>
      <c r="E241" s="4"/>
      <c r="F241" s="20" t="str">
        <f aca="false">IF(AND(D241="",E241=""),"",'Start Here'!$B$4+SUM($D$5:D241)+SUM($E$5:E241))</f>
        <v/>
      </c>
      <c r="G241" s="5"/>
    </row>
    <row r="242" customFormat="false" ht="15" hidden="false" customHeight="false" outlineLevel="0" collapsed="false">
      <c r="A242" s="19"/>
      <c r="B242" s="5"/>
      <c r="C242" s="5"/>
      <c r="D242" s="4"/>
      <c r="E242" s="4"/>
      <c r="F242" s="20" t="str">
        <f aca="false">IF(AND(D242="",E242=""),"",'Start Here'!$B$4+SUM($D$5:D242)+SUM($E$5:E242))</f>
        <v/>
      </c>
      <c r="G242" s="5"/>
    </row>
    <row r="243" customFormat="false" ht="15" hidden="false" customHeight="false" outlineLevel="0" collapsed="false">
      <c r="A243" s="19"/>
      <c r="B243" s="5"/>
      <c r="C243" s="5"/>
      <c r="D243" s="4"/>
      <c r="E243" s="4"/>
      <c r="F243" s="20" t="str">
        <f aca="false">IF(AND(D243="",E243=""),"",'Start Here'!$B$4+SUM($D$5:D243)+SUM($E$5:E243))</f>
        <v/>
      </c>
      <c r="G243" s="5"/>
    </row>
    <row r="244" customFormat="false" ht="15" hidden="false" customHeight="false" outlineLevel="0" collapsed="false">
      <c r="A244" s="19"/>
      <c r="B244" s="5"/>
      <c r="C244" s="5"/>
      <c r="D244" s="4"/>
      <c r="E244" s="4"/>
      <c r="F244" s="20" t="str">
        <f aca="false">IF(AND(D244="",E244=""),"",'Start Here'!$B$4+SUM($D$5:D244)+SUM($E$5:E244))</f>
        <v/>
      </c>
      <c r="G244" s="5"/>
    </row>
    <row r="245" customFormat="false" ht="15" hidden="false" customHeight="false" outlineLevel="0" collapsed="false">
      <c r="A245" s="19"/>
      <c r="B245" s="5"/>
      <c r="C245" s="5"/>
      <c r="D245" s="4"/>
      <c r="E245" s="4"/>
      <c r="F245" s="20" t="str">
        <f aca="false">IF(AND(D245="",E245=""),"",'Start Here'!$B$4+SUM($D$5:D245)+SUM($E$5:E245))</f>
        <v/>
      </c>
      <c r="G245" s="5"/>
    </row>
    <row r="246" customFormat="false" ht="15" hidden="false" customHeight="false" outlineLevel="0" collapsed="false">
      <c r="A246" s="19"/>
      <c r="B246" s="5"/>
      <c r="C246" s="5"/>
      <c r="D246" s="4"/>
      <c r="E246" s="4"/>
      <c r="F246" s="20" t="str">
        <f aca="false">IF(AND(D246="",E246=""),"",'Start Here'!$B$4+SUM($D$5:D246)+SUM($E$5:E246))</f>
        <v/>
      </c>
      <c r="G246" s="5"/>
    </row>
    <row r="247" customFormat="false" ht="15" hidden="false" customHeight="false" outlineLevel="0" collapsed="false">
      <c r="A247" s="19"/>
      <c r="B247" s="5"/>
      <c r="C247" s="5"/>
      <c r="D247" s="4"/>
      <c r="E247" s="4"/>
      <c r="F247" s="20" t="str">
        <f aca="false">IF(AND(D247="",E247=""),"",'Start Here'!$B$4+SUM($D$5:D247)+SUM($E$5:E247))</f>
        <v/>
      </c>
      <c r="G247" s="5"/>
    </row>
    <row r="248" customFormat="false" ht="15" hidden="false" customHeight="false" outlineLevel="0" collapsed="false">
      <c r="A248" s="19"/>
      <c r="B248" s="5"/>
      <c r="C248" s="5"/>
      <c r="D248" s="4"/>
      <c r="E248" s="4"/>
      <c r="F248" s="20" t="str">
        <f aca="false">IF(AND(D248="",E248=""),"",'Start Here'!$B$4+SUM($D$5:D248)+SUM($E$5:E248))</f>
        <v/>
      </c>
      <c r="G248" s="5"/>
    </row>
    <row r="249" customFormat="false" ht="15" hidden="false" customHeight="false" outlineLevel="0" collapsed="false">
      <c r="A249" s="19"/>
      <c r="B249" s="5"/>
      <c r="C249" s="5"/>
      <c r="D249" s="4"/>
      <c r="E249" s="4"/>
      <c r="F249" s="20" t="str">
        <f aca="false">IF(AND(D249="",E249=""),"",'Start Here'!$B$4+SUM($D$5:D249)+SUM($E$5:E249))</f>
        <v/>
      </c>
      <c r="G249" s="5"/>
    </row>
    <row r="250" customFormat="false" ht="15" hidden="false" customHeight="false" outlineLevel="0" collapsed="false">
      <c r="A250" s="19"/>
      <c r="B250" s="5"/>
      <c r="C250" s="5"/>
      <c r="D250" s="4"/>
      <c r="E250" s="4"/>
      <c r="F250" s="20" t="str">
        <f aca="false">IF(AND(D250="",E250=""),"",'Start Here'!$B$4+SUM($D$5:D250)+SUM($E$5:E250))</f>
        <v/>
      </c>
      <c r="G250" s="5"/>
    </row>
    <row r="251" customFormat="false" ht="15" hidden="false" customHeight="false" outlineLevel="0" collapsed="false">
      <c r="A251" s="19"/>
      <c r="B251" s="5"/>
      <c r="C251" s="5"/>
      <c r="D251" s="4"/>
      <c r="E251" s="4"/>
      <c r="F251" s="20" t="str">
        <f aca="false">IF(AND(D251="",E251=""),"",'Start Here'!$B$4+SUM($D$5:D251)+SUM($E$5:E251))</f>
        <v/>
      </c>
      <c r="G251" s="5"/>
    </row>
    <row r="252" customFormat="false" ht="15" hidden="false" customHeight="false" outlineLevel="0" collapsed="false">
      <c r="A252" s="19"/>
      <c r="B252" s="5"/>
      <c r="C252" s="5"/>
      <c r="D252" s="4"/>
      <c r="E252" s="4"/>
      <c r="F252" s="20" t="str">
        <f aca="false">IF(AND(D252="",E252=""),"",'Start Here'!$B$4+SUM($D$5:D252)+SUM($E$5:E252))</f>
        <v/>
      </c>
      <c r="G252" s="5"/>
    </row>
    <row r="253" customFormat="false" ht="15" hidden="false" customHeight="false" outlineLevel="0" collapsed="false">
      <c r="A253" s="19"/>
      <c r="B253" s="5"/>
      <c r="C253" s="5"/>
      <c r="D253" s="4"/>
      <c r="E253" s="4"/>
      <c r="F253" s="20" t="str">
        <f aca="false">IF(AND(D253="",E253=""),"",'Start Here'!$B$4+SUM($D$5:D253)+SUM($E$5:E253))</f>
        <v/>
      </c>
      <c r="G253" s="5"/>
    </row>
    <row r="254" customFormat="false" ht="15" hidden="false" customHeight="false" outlineLevel="0" collapsed="false">
      <c r="A254" s="19"/>
      <c r="B254" s="5"/>
      <c r="C254" s="5"/>
      <c r="D254" s="4"/>
      <c r="E254" s="4"/>
      <c r="F254" s="20" t="str">
        <f aca="false">IF(AND(D254="",E254=""),"",'Start Here'!$B$4+SUM($D$5:D254)+SUM($E$5:E254))</f>
        <v/>
      </c>
      <c r="G254" s="5"/>
    </row>
    <row r="255" customFormat="false" ht="15" hidden="false" customHeight="false" outlineLevel="0" collapsed="false">
      <c r="A255" s="19"/>
      <c r="B255" s="5"/>
      <c r="C255" s="5"/>
      <c r="D255" s="4"/>
      <c r="E255" s="4"/>
      <c r="F255" s="20" t="str">
        <f aca="false">IF(AND(D255="",E255=""),"",'Start Here'!$B$4+SUM($D$5:D255)+SUM($E$5:E255))</f>
        <v/>
      </c>
      <c r="G255" s="5"/>
    </row>
    <row r="256" customFormat="false" ht="15" hidden="false" customHeight="false" outlineLevel="0" collapsed="false">
      <c r="A256" s="19"/>
      <c r="B256" s="5"/>
      <c r="C256" s="5"/>
      <c r="D256" s="4"/>
      <c r="E256" s="4"/>
      <c r="F256" s="20" t="str">
        <f aca="false">IF(AND(D256="",E256=""),"",'Start Here'!$B$4+SUM($D$5:D256)+SUM($E$5:E256))</f>
        <v/>
      </c>
      <c r="G256" s="5"/>
    </row>
    <row r="257" customFormat="false" ht="15" hidden="false" customHeight="false" outlineLevel="0" collapsed="false">
      <c r="A257" s="19"/>
      <c r="B257" s="5"/>
      <c r="C257" s="5"/>
      <c r="D257" s="4"/>
      <c r="E257" s="4"/>
      <c r="F257" s="20" t="str">
        <f aca="false">IF(AND(D257="",E257=""),"",'Start Here'!$B$4+SUM($D$5:D257)+SUM($E$5:E257))</f>
        <v/>
      </c>
      <c r="G257" s="5"/>
    </row>
    <row r="258" customFormat="false" ht="15" hidden="false" customHeight="false" outlineLevel="0" collapsed="false">
      <c r="A258" s="19"/>
      <c r="B258" s="5"/>
      <c r="C258" s="5"/>
      <c r="D258" s="4"/>
      <c r="E258" s="4"/>
      <c r="F258" s="20" t="str">
        <f aca="false">IF(AND(D258="",E258=""),"",'Start Here'!$B$4+SUM($D$5:D258)+SUM($E$5:E258))</f>
        <v/>
      </c>
      <c r="G258" s="5"/>
    </row>
    <row r="259" customFormat="false" ht="15" hidden="false" customHeight="false" outlineLevel="0" collapsed="false">
      <c r="A259" s="19"/>
      <c r="B259" s="5"/>
      <c r="C259" s="5"/>
      <c r="D259" s="4"/>
      <c r="E259" s="4"/>
      <c r="F259" s="20" t="str">
        <f aca="false">IF(AND(D259="",E259=""),"",'Start Here'!$B$4+SUM($D$5:D259)+SUM($E$5:E259))</f>
        <v/>
      </c>
      <c r="G259" s="5"/>
    </row>
    <row r="260" customFormat="false" ht="15" hidden="false" customHeight="false" outlineLevel="0" collapsed="false">
      <c r="A260" s="19"/>
      <c r="B260" s="5"/>
      <c r="C260" s="5"/>
      <c r="D260" s="4"/>
      <c r="E260" s="4"/>
      <c r="F260" s="20" t="str">
        <f aca="false">IF(AND(D260="",E260=""),"",'Start Here'!$B$4+SUM($D$5:D260)+SUM($E$5:E260))</f>
        <v/>
      </c>
      <c r="G260" s="5"/>
    </row>
    <row r="261" customFormat="false" ht="15" hidden="false" customHeight="false" outlineLevel="0" collapsed="false">
      <c r="A261" s="19"/>
      <c r="B261" s="5"/>
      <c r="C261" s="5"/>
      <c r="D261" s="4"/>
      <c r="E261" s="4"/>
      <c r="F261" s="20" t="str">
        <f aca="false">IF(AND(D261="",E261=""),"",'Start Here'!$B$4+SUM($D$5:D261)+SUM($E$5:E261))</f>
        <v/>
      </c>
      <c r="G261" s="5"/>
    </row>
    <row r="262" customFormat="false" ht="15" hidden="false" customHeight="false" outlineLevel="0" collapsed="false">
      <c r="A262" s="19"/>
      <c r="B262" s="5"/>
      <c r="C262" s="5"/>
      <c r="D262" s="4"/>
      <c r="E262" s="4"/>
      <c r="F262" s="20" t="str">
        <f aca="false">IF(AND(D262="",E262=""),"",'Start Here'!$B$4+SUM($D$5:D262)+SUM($E$5:E262))</f>
        <v/>
      </c>
      <c r="G262" s="5"/>
    </row>
    <row r="263" customFormat="false" ht="15" hidden="false" customHeight="false" outlineLevel="0" collapsed="false">
      <c r="A263" s="19"/>
      <c r="B263" s="5"/>
      <c r="C263" s="5"/>
      <c r="D263" s="4"/>
      <c r="E263" s="4"/>
      <c r="F263" s="20" t="str">
        <f aca="false">IF(AND(D263="",E263=""),"",'Start Here'!$B$4+SUM($D$5:D263)+SUM($E$5:E263))</f>
        <v/>
      </c>
      <c r="G263" s="5"/>
    </row>
    <row r="264" customFormat="false" ht="15" hidden="false" customHeight="false" outlineLevel="0" collapsed="false">
      <c r="A264" s="19"/>
      <c r="B264" s="5"/>
      <c r="C264" s="5"/>
      <c r="D264" s="4"/>
      <c r="E264" s="4"/>
      <c r="F264" s="20" t="str">
        <f aca="false">IF(AND(D264="",E264=""),"",'Start Here'!$B$4+SUM($D$5:D264)+SUM($E$5:E264))</f>
        <v/>
      </c>
      <c r="G264" s="5"/>
    </row>
    <row r="265" customFormat="false" ht="15" hidden="false" customHeight="false" outlineLevel="0" collapsed="false">
      <c r="A265" s="19"/>
      <c r="B265" s="5"/>
      <c r="C265" s="5"/>
      <c r="D265" s="4"/>
      <c r="E265" s="4"/>
      <c r="F265" s="20" t="str">
        <f aca="false">IF(AND(D265="",E265=""),"",'Start Here'!$B$4+SUM($D$5:D265)+SUM($E$5:E265))</f>
        <v/>
      </c>
      <c r="G265" s="5"/>
    </row>
    <row r="266" customFormat="false" ht="15" hidden="false" customHeight="false" outlineLevel="0" collapsed="false">
      <c r="A266" s="19"/>
      <c r="B266" s="5"/>
      <c r="C266" s="5"/>
      <c r="D266" s="4"/>
      <c r="E266" s="4"/>
      <c r="F266" s="20" t="str">
        <f aca="false">IF(AND(D266="",E266=""),"",'Start Here'!$B$4+SUM($D$5:D266)+SUM($E$5:E266))</f>
        <v/>
      </c>
      <c r="G266" s="5"/>
    </row>
    <row r="267" customFormat="false" ht="15" hidden="false" customHeight="false" outlineLevel="0" collapsed="false">
      <c r="A267" s="19"/>
      <c r="B267" s="5"/>
      <c r="C267" s="5"/>
      <c r="D267" s="4"/>
      <c r="E267" s="4"/>
      <c r="F267" s="20" t="str">
        <f aca="false">IF(AND(D267="",E267=""),"",'Start Here'!$B$4+SUM($D$5:D267)+SUM($E$5:E267))</f>
        <v/>
      </c>
      <c r="G267" s="5"/>
    </row>
    <row r="268" customFormat="false" ht="15" hidden="false" customHeight="false" outlineLevel="0" collapsed="false">
      <c r="A268" s="19"/>
      <c r="B268" s="5"/>
      <c r="C268" s="5"/>
      <c r="D268" s="4"/>
      <c r="E268" s="4"/>
      <c r="F268" s="20" t="str">
        <f aca="false">IF(AND(D268="",E268=""),"",'Start Here'!$B$4+SUM($D$5:D268)+SUM($E$5:E268))</f>
        <v/>
      </c>
      <c r="G268" s="5"/>
    </row>
    <row r="269" customFormat="false" ht="15" hidden="false" customHeight="false" outlineLevel="0" collapsed="false">
      <c r="A269" s="19"/>
      <c r="B269" s="5"/>
      <c r="C269" s="5"/>
      <c r="D269" s="4"/>
      <c r="E269" s="4"/>
      <c r="F269" s="20" t="str">
        <f aca="false">IF(AND(D269="",E269=""),"",'Start Here'!$B$4+SUM($D$5:D269)+SUM($E$5:E269))</f>
        <v/>
      </c>
      <c r="G269" s="5"/>
    </row>
    <row r="270" customFormat="false" ht="15" hidden="false" customHeight="false" outlineLevel="0" collapsed="false">
      <c r="A270" s="19"/>
      <c r="B270" s="5"/>
      <c r="C270" s="5"/>
      <c r="D270" s="4"/>
      <c r="E270" s="4"/>
      <c r="F270" s="20" t="str">
        <f aca="false">IF(AND(D270="",E270=""),"",'Start Here'!$B$4+SUM($D$5:D270)+SUM($E$5:E270))</f>
        <v/>
      </c>
      <c r="G270" s="5"/>
    </row>
    <row r="271" customFormat="false" ht="15" hidden="false" customHeight="false" outlineLevel="0" collapsed="false">
      <c r="A271" s="19"/>
      <c r="B271" s="5"/>
      <c r="C271" s="5"/>
      <c r="D271" s="4"/>
      <c r="E271" s="4"/>
      <c r="F271" s="20" t="str">
        <f aca="false">IF(AND(D271="",E271=""),"",'Start Here'!$B$4+SUM($D$5:D271)+SUM($E$5:E271))</f>
        <v/>
      </c>
      <c r="G271" s="5"/>
    </row>
    <row r="272" customFormat="false" ht="15" hidden="false" customHeight="false" outlineLevel="0" collapsed="false">
      <c r="A272" s="19"/>
      <c r="B272" s="5"/>
      <c r="C272" s="5"/>
      <c r="D272" s="4"/>
      <c r="E272" s="4"/>
      <c r="F272" s="20" t="str">
        <f aca="false">IF(AND(D272="",E272=""),"",'Start Here'!$B$4+SUM($D$5:D272)+SUM($E$5:E272))</f>
        <v/>
      </c>
      <c r="G272" s="5"/>
    </row>
    <row r="273" customFormat="false" ht="15" hidden="false" customHeight="false" outlineLevel="0" collapsed="false">
      <c r="A273" s="19"/>
      <c r="B273" s="5"/>
      <c r="C273" s="5"/>
      <c r="D273" s="4"/>
      <c r="E273" s="4"/>
      <c r="F273" s="20" t="str">
        <f aca="false">IF(AND(D273="",E273=""),"",'Start Here'!$B$4+SUM($D$5:D273)+SUM($E$5:E273))</f>
        <v/>
      </c>
      <c r="G273" s="5"/>
    </row>
    <row r="274" customFormat="false" ht="15" hidden="false" customHeight="false" outlineLevel="0" collapsed="false">
      <c r="A274" s="19"/>
      <c r="B274" s="5"/>
      <c r="C274" s="5"/>
      <c r="D274" s="4"/>
      <c r="E274" s="4"/>
      <c r="F274" s="20" t="str">
        <f aca="false">IF(AND(D274="",E274=""),"",'Start Here'!$B$4+SUM($D$5:D274)+SUM($E$5:E274))</f>
        <v/>
      </c>
      <c r="G274" s="5"/>
    </row>
    <row r="275" customFormat="false" ht="15" hidden="false" customHeight="false" outlineLevel="0" collapsed="false">
      <c r="A275" s="19"/>
      <c r="B275" s="5"/>
      <c r="C275" s="5"/>
      <c r="D275" s="4"/>
      <c r="E275" s="4"/>
      <c r="F275" s="20" t="str">
        <f aca="false">IF(AND(D275="",E275=""),"",'Start Here'!$B$4+SUM($D$5:D275)+SUM($E$5:E275))</f>
        <v/>
      </c>
      <c r="G275" s="5"/>
    </row>
    <row r="276" customFormat="false" ht="15" hidden="false" customHeight="false" outlineLevel="0" collapsed="false">
      <c r="A276" s="19"/>
      <c r="B276" s="5"/>
      <c r="C276" s="5"/>
      <c r="D276" s="4"/>
      <c r="E276" s="4"/>
      <c r="F276" s="20" t="str">
        <f aca="false">IF(AND(D276="",E276=""),"",'Start Here'!$B$4+SUM($D$5:D276)+SUM($E$5:E276))</f>
        <v/>
      </c>
      <c r="G276" s="5"/>
    </row>
    <row r="277" customFormat="false" ht="15" hidden="false" customHeight="false" outlineLevel="0" collapsed="false">
      <c r="A277" s="19"/>
      <c r="B277" s="5"/>
      <c r="C277" s="5"/>
      <c r="D277" s="4"/>
      <c r="E277" s="4"/>
      <c r="F277" s="20" t="str">
        <f aca="false">IF(AND(D277="",E277=""),"",'Start Here'!$B$4+SUM($D$5:D277)+SUM($E$5:E277))</f>
        <v/>
      </c>
      <c r="G277" s="5"/>
    </row>
    <row r="278" customFormat="false" ht="15" hidden="false" customHeight="false" outlineLevel="0" collapsed="false">
      <c r="A278" s="19"/>
      <c r="B278" s="5"/>
      <c r="C278" s="5"/>
      <c r="D278" s="4"/>
      <c r="E278" s="4"/>
      <c r="F278" s="20" t="str">
        <f aca="false">IF(AND(D278="",E278=""),"",'Start Here'!$B$4+SUM($D$5:D278)+SUM($E$5:E278))</f>
        <v/>
      </c>
      <c r="G278" s="5"/>
    </row>
    <row r="279" customFormat="false" ht="15" hidden="false" customHeight="false" outlineLevel="0" collapsed="false">
      <c r="A279" s="19"/>
      <c r="B279" s="5"/>
      <c r="C279" s="5"/>
      <c r="D279" s="4"/>
      <c r="E279" s="4"/>
      <c r="F279" s="20" t="str">
        <f aca="false">IF(AND(D279="",E279=""),"",'Start Here'!$B$4+SUM($D$5:D279)+SUM($E$5:E279))</f>
        <v/>
      </c>
      <c r="G279" s="5"/>
    </row>
    <row r="280" customFormat="false" ht="15" hidden="false" customHeight="false" outlineLevel="0" collapsed="false">
      <c r="A280" s="19"/>
      <c r="B280" s="5"/>
      <c r="C280" s="5"/>
      <c r="D280" s="4"/>
      <c r="E280" s="4"/>
      <c r="F280" s="20" t="str">
        <f aca="false">IF(AND(D280="",E280=""),"",'Start Here'!$B$4+SUM($D$5:D280)+SUM($E$5:E280))</f>
        <v/>
      </c>
      <c r="G280" s="5"/>
    </row>
    <row r="281" customFormat="false" ht="15" hidden="false" customHeight="false" outlineLevel="0" collapsed="false">
      <c r="A281" s="19"/>
      <c r="B281" s="5"/>
      <c r="C281" s="5"/>
      <c r="D281" s="4"/>
      <c r="E281" s="4"/>
      <c r="F281" s="20" t="str">
        <f aca="false">IF(AND(D281="",E281=""),"",'Start Here'!$B$4+SUM($D$5:D281)+SUM($E$5:E281))</f>
        <v/>
      </c>
      <c r="G281" s="5"/>
    </row>
    <row r="282" customFormat="false" ht="15" hidden="false" customHeight="false" outlineLevel="0" collapsed="false">
      <c r="A282" s="19"/>
      <c r="B282" s="5"/>
      <c r="C282" s="5"/>
      <c r="D282" s="4"/>
      <c r="E282" s="4"/>
      <c r="F282" s="20" t="str">
        <f aca="false">IF(AND(D282="",E282=""),"",'Start Here'!$B$4+SUM($D$5:D282)+SUM($E$5:E282))</f>
        <v/>
      </c>
      <c r="G282" s="5"/>
    </row>
    <row r="283" customFormat="false" ht="15" hidden="false" customHeight="false" outlineLevel="0" collapsed="false">
      <c r="A283" s="19"/>
      <c r="B283" s="5"/>
      <c r="C283" s="5"/>
      <c r="D283" s="4"/>
      <c r="E283" s="4"/>
      <c r="F283" s="20" t="str">
        <f aca="false">IF(AND(D283="",E283=""),"",'Start Here'!$B$4+SUM($D$5:D283)+SUM($E$5:E283))</f>
        <v/>
      </c>
      <c r="G283" s="5"/>
    </row>
    <row r="284" customFormat="false" ht="15" hidden="false" customHeight="false" outlineLevel="0" collapsed="false">
      <c r="A284" s="19"/>
      <c r="B284" s="5"/>
      <c r="C284" s="5"/>
      <c r="D284" s="4"/>
      <c r="E284" s="4"/>
      <c r="F284" s="20" t="str">
        <f aca="false">IF(AND(D284="",E284=""),"",'Start Here'!$B$4+SUM($D$5:D284)+SUM($E$5:E284))</f>
        <v/>
      </c>
      <c r="G284" s="5"/>
    </row>
    <row r="285" customFormat="false" ht="15" hidden="false" customHeight="false" outlineLevel="0" collapsed="false">
      <c r="A285" s="19"/>
      <c r="B285" s="5"/>
      <c r="C285" s="5"/>
      <c r="D285" s="4"/>
      <c r="E285" s="4"/>
      <c r="F285" s="20" t="str">
        <f aca="false">IF(AND(D285="",E285=""),"",'Start Here'!$B$4+SUM($D$5:D285)+SUM($E$5:E285))</f>
        <v/>
      </c>
      <c r="G285" s="5"/>
    </row>
    <row r="286" customFormat="false" ht="15" hidden="false" customHeight="false" outlineLevel="0" collapsed="false">
      <c r="A286" s="19"/>
      <c r="B286" s="5"/>
      <c r="C286" s="5"/>
      <c r="D286" s="4"/>
      <c r="E286" s="4"/>
      <c r="F286" s="20" t="str">
        <f aca="false">IF(AND(D286="",E286=""),"",'Start Here'!$B$4+SUM($D$5:D286)+SUM($E$5:E286))</f>
        <v/>
      </c>
      <c r="G286" s="5"/>
    </row>
    <row r="287" customFormat="false" ht="15" hidden="false" customHeight="false" outlineLevel="0" collapsed="false">
      <c r="A287" s="19"/>
      <c r="B287" s="5"/>
      <c r="C287" s="5"/>
      <c r="D287" s="4"/>
      <c r="E287" s="4"/>
      <c r="F287" s="20" t="str">
        <f aca="false">IF(AND(D287="",E287=""),"",'Start Here'!$B$4+SUM($D$5:D287)+SUM($E$5:E287))</f>
        <v/>
      </c>
      <c r="G287" s="5"/>
    </row>
    <row r="288" customFormat="false" ht="15" hidden="false" customHeight="false" outlineLevel="0" collapsed="false">
      <c r="A288" s="19"/>
      <c r="B288" s="5"/>
      <c r="C288" s="5"/>
      <c r="D288" s="4"/>
      <c r="E288" s="4"/>
      <c r="F288" s="20" t="str">
        <f aca="false">IF(AND(D288="",E288=""),"",'Start Here'!$B$4+SUM($D$5:D288)+SUM($E$5:E288))</f>
        <v/>
      </c>
      <c r="G288" s="5"/>
    </row>
    <row r="289" customFormat="false" ht="15" hidden="false" customHeight="false" outlineLevel="0" collapsed="false">
      <c r="A289" s="19"/>
      <c r="B289" s="5"/>
      <c r="C289" s="5"/>
      <c r="D289" s="4"/>
      <c r="E289" s="4"/>
      <c r="F289" s="20" t="str">
        <f aca="false">IF(AND(D289="",E289=""),"",'Start Here'!$B$4+SUM($D$5:D289)+SUM($E$5:E289))</f>
        <v/>
      </c>
      <c r="G289" s="5"/>
    </row>
    <row r="290" customFormat="false" ht="15" hidden="false" customHeight="false" outlineLevel="0" collapsed="false">
      <c r="A290" s="19"/>
      <c r="B290" s="5"/>
      <c r="C290" s="5"/>
      <c r="D290" s="4"/>
      <c r="E290" s="4"/>
      <c r="F290" s="20" t="str">
        <f aca="false">IF(AND(D290="",E290=""),"",'Start Here'!$B$4+SUM($D$5:D290)+SUM($E$5:E290))</f>
        <v/>
      </c>
      <c r="G290" s="5"/>
    </row>
    <row r="291" customFormat="false" ht="15" hidden="false" customHeight="false" outlineLevel="0" collapsed="false">
      <c r="A291" s="19"/>
      <c r="B291" s="5"/>
      <c r="C291" s="5"/>
      <c r="D291" s="4"/>
      <c r="E291" s="4"/>
      <c r="F291" s="20" t="str">
        <f aca="false">IF(AND(D291="",E291=""),"",'Start Here'!$B$4+SUM($D$5:D291)+SUM($E$5:E291))</f>
        <v/>
      </c>
      <c r="G291" s="5"/>
    </row>
    <row r="292" customFormat="false" ht="15" hidden="false" customHeight="false" outlineLevel="0" collapsed="false">
      <c r="A292" s="19"/>
      <c r="B292" s="5"/>
      <c r="C292" s="5"/>
      <c r="D292" s="4"/>
      <c r="E292" s="4"/>
      <c r="F292" s="20" t="str">
        <f aca="false">IF(AND(D292="",E292=""),"",'Start Here'!$B$4+SUM($D$5:D292)+SUM($E$5:E292))</f>
        <v/>
      </c>
      <c r="G292" s="5"/>
    </row>
    <row r="293" customFormat="false" ht="15" hidden="false" customHeight="false" outlineLevel="0" collapsed="false">
      <c r="A293" s="19"/>
      <c r="B293" s="5"/>
      <c r="C293" s="5"/>
      <c r="D293" s="4"/>
      <c r="E293" s="4"/>
      <c r="F293" s="20" t="str">
        <f aca="false">IF(AND(D293="",E293=""),"",'Start Here'!$B$4+SUM($D$5:D293)+SUM($E$5:E293))</f>
        <v/>
      </c>
      <c r="G293" s="5"/>
    </row>
    <row r="294" customFormat="false" ht="15" hidden="false" customHeight="false" outlineLevel="0" collapsed="false">
      <c r="A294" s="19"/>
      <c r="B294" s="5"/>
      <c r="C294" s="5"/>
      <c r="D294" s="4"/>
      <c r="E294" s="4"/>
      <c r="F294" s="20" t="str">
        <f aca="false">IF(AND(D294="",E294=""),"",'Start Here'!$B$4+SUM($D$5:D294)+SUM($E$5:E294))</f>
        <v/>
      </c>
      <c r="G294" s="5"/>
    </row>
    <row r="295" customFormat="false" ht="15" hidden="false" customHeight="false" outlineLevel="0" collapsed="false">
      <c r="A295" s="19"/>
      <c r="B295" s="5"/>
      <c r="C295" s="5"/>
      <c r="D295" s="4"/>
      <c r="E295" s="4"/>
      <c r="F295" s="20" t="str">
        <f aca="false">IF(AND(D295="",E295=""),"",'Start Here'!$B$4+SUM($D$5:D295)+SUM($E$5:E295))</f>
        <v/>
      </c>
      <c r="G295" s="5"/>
    </row>
    <row r="296" customFormat="false" ht="15" hidden="false" customHeight="false" outlineLevel="0" collapsed="false">
      <c r="A296" s="19"/>
      <c r="B296" s="5"/>
      <c r="C296" s="5"/>
      <c r="D296" s="4"/>
      <c r="E296" s="4"/>
      <c r="F296" s="20" t="str">
        <f aca="false">IF(AND(D296="",E296=""),"",'Start Here'!$B$4+SUM($D$5:D296)+SUM($E$5:E296))</f>
        <v/>
      </c>
      <c r="G296" s="5"/>
    </row>
    <row r="297" customFormat="false" ht="15" hidden="false" customHeight="false" outlineLevel="0" collapsed="false">
      <c r="A297" s="19"/>
      <c r="B297" s="5"/>
      <c r="C297" s="5"/>
      <c r="D297" s="4"/>
      <c r="E297" s="4"/>
      <c r="F297" s="20" t="str">
        <f aca="false">IF(AND(D297="",E297=""),"",'Start Here'!$B$4+SUM($D$5:D297)+SUM($E$5:E297))</f>
        <v/>
      </c>
      <c r="G297" s="5"/>
    </row>
    <row r="298" customFormat="false" ht="15" hidden="false" customHeight="false" outlineLevel="0" collapsed="false">
      <c r="A298" s="19"/>
      <c r="B298" s="5"/>
      <c r="C298" s="5"/>
      <c r="D298" s="4"/>
      <c r="E298" s="4"/>
      <c r="F298" s="20" t="str">
        <f aca="false">IF(AND(D298="",E298=""),"",'Start Here'!$B$4+SUM($D$5:D298)+SUM($E$5:E298))</f>
        <v/>
      </c>
      <c r="G298" s="5"/>
    </row>
    <row r="299" customFormat="false" ht="15" hidden="false" customHeight="false" outlineLevel="0" collapsed="false">
      <c r="A299" s="19"/>
      <c r="B299" s="5"/>
      <c r="C299" s="5"/>
      <c r="D299" s="4"/>
      <c r="E299" s="4"/>
      <c r="F299" s="20" t="str">
        <f aca="false">IF(AND(D299="",E299=""),"",'Start Here'!$B$4+SUM($D$5:D299)+SUM($E$5:E299))</f>
        <v/>
      </c>
      <c r="G299" s="5"/>
    </row>
    <row r="300" customFormat="false" ht="15" hidden="false" customHeight="false" outlineLevel="0" collapsed="false">
      <c r="A300" s="19"/>
      <c r="B300" s="5"/>
      <c r="C300" s="5"/>
      <c r="D300" s="4"/>
      <c r="E300" s="4"/>
      <c r="F300" s="20" t="str">
        <f aca="false">IF(AND(D300="",E300=""),"",'Start Here'!$B$4+SUM($D$5:D300)+SUM($E$5:E300))</f>
        <v/>
      </c>
      <c r="G300" s="5"/>
    </row>
    <row r="301" customFormat="false" ht="15" hidden="false" customHeight="false" outlineLevel="0" collapsed="false">
      <c r="A301" s="19"/>
      <c r="B301" s="5"/>
      <c r="C301" s="5"/>
      <c r="D301" s="4"/>
      <c r="E301" s="4"/>
      <c r="F301" s="20" t="str">
        <f aca="false">IF(AND(D301="",E301=""),"",'Start Here'!$B$4+SUM($D$5:D301)+SUM($E$5:E301))</f>
        <v/>
      </c>
      <c r="G301" s="5"/>
    </row>
    <row r="302" customFormat="false" ht="15" hidden="false" customHeight="false" outlineLevel="0" collapsed="false">
      <c r="A302" s="19"/>
      <c r="B302" s="5"/>
      <c r="C302" s="5"/>
      <c r="D302" s="4"/>
      <c r="E302" s="4"/>
      <c r="F302" s="20" t="str">
        <f aca="false">IF(AND(D302="",E302=""),"",'Start Here'!$B$4+SUM($D$5:D302)+SUM($E$5:E302))</f>
        <v/>
      </c>
      <c r="G302" s="5"/>
    </row>
    <row r="303" customFormat="false" ht="15" hidden="false" customHeight="false" outlineLevel="0" collapsed="false">
      <c r="A303" s="19"/>
      <c r="B303" s="5"/>
      <c r="C303" s="5"/>
      <c r="D303" s="4"/>
      <c r="E303" s="4"/>
      <c r="F303" s="20" t="str">
        <f aca="false">IF(AND(D303="",E303=""),"",'Start Here'!$B$4+SUM($D$5:D303)+SUM($E$5:E303))</f>
        <v/>
      </c>
      <c r="G303" s="5"/>
    </row>
    <row r="304" customFormat="false" ht="15" hidden="false" customHeight="false" outlineLevel="0" collapsed="false">
      <c r="A304" s="19"/>
      <c r="B304" s="5"/>
      <c r="C304" s="5"/>
      <c r="D304" s="4"/>
      <c r="E304" s="4"/>
      <c r="F304" s="20" t="str">
        <f aca="false">IF(AND(D304="",E304=""),"",'Start Here'!$B$4+SUM($D$5:D304)+SUM($E$5:E304))</f>
        <v/>
      </c>
      <c r="G304" s="5"/>
    </row>
    <row r="305" customFormat="false" ht="15" hidden="false" customHeight="false" outlineLevel="0" collapsed="false">
      <c r="A305" s="19"/>
      <c r="B305" s="5"/>
      <c r="C305" s="5"/>
      <c r="D305" s="4"/>
      <c r="E305" s="4"/>
      <c r="F305" s="20" t="str">
        <f aca="false">IF(AND(D305="",E305=""),"",'Start Here'!$B$4+SUM($D$5:D305)+SUM($E$5:E305))</f>
        <v/>
      </c>
      <c r="G305" s="5"/>
    </row>
    <row r="306" customFormat="false" ht="15" hidden="false" customHeight="false" outlineLevel="0" collapsed="false">
      <c r="A306" s="19"/>
      <c r="B306" s="5"/>
      <c r="C306" s="5"/>
      <c r="D306" s="4"/>
      <c r="E306" s="4"/>
      <c r="F306" s="20" t="str">
        <f aca="false">IF(AND(D306="",E306=""),"",'Start Here'!$B$4+SUM($D$5:D306)+SUM($E$5:E306))</f>
        <v/>
      </c>
      <c r="G306" s="5"/>
    </row>
    <row r="307" customFormat="false" ht="15" hidden="false" customHeight="false" outlineLevel="0" collapsed="false">
      <c r="A307" s="19"/>
      <c r="B307" s="5"/>
      <c r="C307" s="5"/>
      <c r="D307" s="4"/>
      <c r="E307" s="4"/>
      <c r="F307" s="20" t="str">
        <f aca="false">IF(AND(D307="",E307=""),"",'Start Here'!$B$4+SUM($D$5:D307)+SUM($E$5:E307))</f>
        <v/>
      </c>
      <c r="G307" s="5"/>
    </row>
    <row r="308" customFormat="false" ht="15" hidden="false" customHeight="false" outlineLevel="0" collapsed="false">
      <c r="A308" s="19"/>
      <c r="B308" s="5"/>
      <c r="C308" s="5"/>
      <c r="D308" s="4"/>
      <c r="E308" s="4"/>
      <c r="F308" s="20" t="str">
        <f aca="false">IF(AND(D308="",E308=""),"",'Start Here'!$B$4+SUM($D$5:D308)+SUM($E$5:E308))</f>
        <v/>
      </c>
      <c r="G308" s="5"/>
    </row>
    <row r="309" customFormat="false" ht="15" hidden="false" customHeight="false" outlineLevel="0" collapsed="false">
      <c r="A309" s="19"/>
      <c r="B309" s="5"/>
      <c r="C309" s="5"/>
      <c r="D309" s="4"/>
      <c r="E309" s="4"/>
      <c r="F309" s="20" t="str">
        <f aca="false">IF(AND(D309="",E309=""),"",'Start Here'!$B$4+SUM($D$5:D309)+SUM($E$5:E309))</f>
        <v/>
      </c>
      <c r="G309" s="5"/>
    </row>
    <row r="310" customFormat="false" ht="15" hidden="false" customHeight="false" outlineLevel="0" collapsed="false">
      <c r="A310" s="19"/>
      <c r="B310" s="5"/>
      <c r="C310" s="5"/>
      <c r="D310" s="4"/>
      <c r="E310" s="4"/>
      <c r="F310" s="20" t="str">
        <f aca="false">IF(AND(D310="",E310=""),"",'Start Here'!$B$4+SUM($D$5:D310)+SUM($E$5:E310))</f>
        <v/>
      </c>
      <c r="G310" s="5"/>
    </row>
    <row r="311" customFormat="false" ht="15" hidden="false" customHeight="false" outlineLevel="0" collapsed="false">
      <c r="A311" s="19"/>
      <c r="B311" s="5"/>
      <c r="C311" s="5"/>
      <c r="D311" s="4"/>
      <c r="E311" s="4"/>
      <c r="F311" s="20" t="str">
        <f aca="false">IF(AND(D311="",E311=""),"",'Start Here'!$B$4+SUM($D$5:D311)+SUM($E$5:E311))</f>
        <v/>
      </c>
      <c r="G311" s="5"/>
    </row>
    <row r="312" customFormat="false" ht="15" hidden="false" customHeight="false" outlineLevel="0" collapsed="false">
      <c r="A312" s="19"/>
      <c r="B312" s="5"/>
      <c r="C312" s="5"/>
      <c r="D312" s="4"/>
      <c r="E312" s="4"/>
      <c r="F312" s="20" t="str">
        <f aca="false">IF(AND(D312="",E312=""),"",'Start Here'!$B$4+SUM($D$5:D312)+SUM($E$5:E312))</f>
        <v/>
      </c>
      <c r="G312" s="5"/>
    </row>
    <row r="313" customFormat="false" ht="15" hidden="false" customHeight="false" outlineLevel="0" collapsed="false">
      <c r="A313" s="19"/>
      <c r="B313" s="5"/>
      <c r="C313" s="5"/>
      <c r="D313" s="4"/>
      <c r="E313" s="4"/>
      <c r="F313" s="20" t="str">
        <f aca="false">IF(AND(D313="",E313=""),"",'Start Here'!$B$4+SUM($D$5:D313)+SUM($E$5:E313))</f>
        <v/>
      </c>
      <c r="G313" s="5"/>
    </row>
    <row r="314" customFormat="false" ht="15" hidden="false" customHeight="false" outlineLevel="0" collapsed="false">
      <c r="A314" s="19"/>
      <c r="B314" s="5"/>
      <c r="C314" s="5"/>
      <c r="D314" s="4"/>
      <c r="E314" s="4"/>
      <c r="F314" s="20" t="str">
        <f aca="false">IF(AND(D314="",E314=""),"",'Start Here'!$B$4+SUM($D$5:D314)+SUM($E$5:E314))</f>
        <v/>
      </c>
      <c r="G314" s="5"/>
    </row>
    <row r="315" customFormat="false" ht="15" hidden="false" customHeight="false" outlineLevel="0" collapsed="false">
      <c r="A315" s="19"/>
      <c r="B315" s="5"/>
      <c r="C315" s="5"/>
      <c r="D315" s="4"/>
      <c r="E315" s="4"/>
      <c r="F315" s="20" t="str">
        <f aca="false">IF(AND(D315="",E315=""),"",'Start Here'!$B$4+SUM($D$5:D315)+SUM($E$5:E315))</f>
        <v/>
      </c>
      <c r="G315" s="5"/>
    </row>
    <row r="316" customFormat="false" ht="15" hidden="false" customHeight="false" outlineLevel="0" collapsed="false">
      <c r="A316" s="19"/>
      <c r="B316" s="5"/>
      <c r="C316" s="5"/>
      <c r="D316" s="4"/>
      <c r="E316" s="4"/>
      <c r="F316" s="20" t="str">
        <f aca="false">IF(AND(D316="",E316=""),"",'Start Here'!$B$4+SUM($D$5:D316)+SUM($E$5:E316))</f>
        <v/>
      </c>
      <c r="G316" s="5"/>
    </row>
    <row r="317" customFormat="false" ht="15" hidden="false" customHeight="false" outlineLevel="0" collapsed="false">
      <c r="A317" s="19"/>
      <c r="B317" s="5"/>
      <c r="C317" s="5"/>
      <c r="D317" s="4"/>
      <c r="E317" s="4"/>
      <c r="F317" s="20" t="str">
        <f aca="false">IF(AND(D317="",E317=""),"",'Start Here'!$B$4+SUM($D$5:D317)+SUM($E$5:E317))</f>
        <v/>
      </c>
      <c r="G317" s="5"/>
    </row>
    <row r="318" customFormat="false" ht="15" hidden="false" customHeight="false" outlineLevel="0" collapsed="false">
      <c r="A318" s="19"/>
      <c r="B318" s="5"/>
      <c r="C318" s="5"/>
      <c r="D318" s="4"/>
      <c r="E318" s="4"/>
      <c r="F318" s="20" t="str">
        <f aca="false">IF(AND(D318="",E318=""),"",'Start Here'!$B$4+SUM($D$5:D318)+SUM($E$5:E318))</f>
        <v/>
      </c>
      <c r="G318" s="5"/>
    </row>
    <row r="319" customFormat="false" ht="15" hidden="false" customHeight="false" outlineLevel="0" collapsed="false">
      <c r="A319" s="19"/>
      <c r="B319" s="5"/>
      <c r="C319" s="5"/>
      <c r="D319" s="4"/>
      <c r="E319" s="4"/>
      <c r="F319" s="20" t="str">
        <f aca="false">IF(AND(D319="",E319=""),"",'Start Here'!$B$4+SUM($D$5:D319)+SUM($E$5:E319))</f>
        <v/>
      </c>
      <c r="G319" s="5"/>
    </row>
    <row r="320" customFormat="false" ht="15" hidden="false" customHeight="false" outlineLevel="0" collapsed="false">
      <c r="A320" s="19"/>
      <c r="B320" s="5"/>
      <c r="C320" s="5"/>
      <c r="D320" s="4"/>
      <c r="E320" s="4"/>
      <c r="F320" s="20" t="str">
        <f aca="false">IF(AND(D320="",E320=""),"",'Start Here'!$B$4+SUM($D$5:D320)+SUM($E$5:E320))</f>
        <v/>
      </c>
      <c r="G320" s="5"/>
    </row>
    <row r="321" customFormat="false" ht="15" hidden="false" customHeight="false" outlineLevel="0" collapsed="false">
      <c r="A321" s="19"/>
      <c r="B321" s="5"/>
      <c r="C321" s="5"/>
      <c r="D321" s="4"/>
      <c r="E321" s="4"/>
      <c r="F321" s="20" t="str">
        <f aca="false">IF(AND(D321="",E321=""),"",'Start Here'!$B$4+SUM($D$5:D321)+SUM($E$5:E321))</f>
        <v/>
      </c>
      <c r="G321" s="5"/>
    </row>
    <row r="322" customFormat="false" ht="15" hidden="false" customHeight="false" outlineLevel="0" collapsed="false">
      <c r="A322" s="19"/>
      <c r="B322" s="5"/>
      <c r="C322" s="5"/>
      <c r="D322" s="4"/>
      <c r="E322" s="4"/>
      <c r="F322" s="20" t="str">
        <f aca="false">IF(AND(D322="",E322=""),"",'Start Here'!$B$4+SUM($D$5:D322)+SUM($E$5:E322))</f>
        <v/>
      </c>
      <c r="G322" s="5"/>
    </row>
    <row r="323" customFormat="false" ht="15" hidden="false" customHeight="false" outlineLevel="0" collapsed="false">
      <c r="A323" s="19"/>
      <c r="B323" s="5"/>
      <c r="C323" s="5"/>
      <c r="D323" s="4"/>
      <c r="E323" s="4"/>
      <c r="F323" s="20" t="str">
        <f aca="false">IF(AND(D323="",E323=""),"",'Start Here'!$B$4+SUM($D$5:D323)+SUM($E$5:E323))</f>
        <v/>
      </c>
      <c r="G323" s="5"/>
    </row>
    <row r="324" customFormat="false" ht="15" hidden="false" customHeight="false" outlineLevel="0" collapsed="false">
      <c r="A324" s="19"/>
      <c r="B324" s="5"/>
      <c r="C324" s="5"/>
      <c r="D324" s="4"/>
      <c r="E324" s="4"/>
      <c r="F324" s="20" t="str">
        <f aca="false">IF(AND(D324="",E324=""),"",'Start Here'!$B$4+SUM($D$5:D324)+SUM($E$5:E324))</f>
        <v/>
      </c>
      <c r="G324" s="5"/>
    </row>
    <row r="325" customFormat="false" ht="15" hidden="false" customHeight="false" outlineLevel="0" collapsed="false">
      <c r="A325" s="19"/>
      <c r="B325" s="5"/>
      <c r="C325" s="5"/>
      <c r="D325" s="4"/>
      <c r="E325" s="4"/>
      <c r="F325" s="20" t="str">
        <f aca="false">IF(AND(D325="",E325=""),"",'Start Here'!$B$4+SUM($D$5:D325)+SUM($E$5:E325))</f>
        <v/>
      </c>
      <c r="G325" s="5"/>
    </row>
    <row r="326" customFormat="false" ht="15" hidden="false" customHeight="false" outlineLevel="0" collapsed="false">
      <c r="A326" s="19"/>
      <c r="B326" s="5"/>
      <c r="C326" s="5"/>
      <c r="D326" s="4"/>
      <c r="E326" s="4"/>
      <c r="F326" s="20" t="str">
        <f aca="false">IF(AND(D326="",E326=""),"",'Start Here'!$B$4+SUM($D$5:D326)+SUM($E$5:E326))</f>
        <v/>
      </c>
      <c r="G326" s="5"/>
    </row>
    <row r="327" customFormat="false" ht="15" hidden="false" customHeight="false" outlineLevel="0" collapsed="false">
      <c r="A327" s="19"/>
      <c r="B327" s="5"/>
      <c r="C327" s="5"/>
      <c r="D327" s="4"/>
      <c r="E327" s="4"/>
      <c r="F327" s="20" t="str">
        <f aca="false">IF(AND(D327="",E327=""),"",'Start Here'!$B$4+SUM($D$5:D327)+SUM($E$5:E327))</f>
        <v/>
      </c>
      <c r="G327" s="5"/>
    </row>
    <row r="328" customFormat="false" ht="15" hidden="false" customHeight="false" outlineLevel="0" collapsed="false">
      <c r="A328" s="19"/>
      <c r="B328" s="5"/>
      <c r="C328" s="5"/>
      <c r="D328" s="4"/>
      <c r="E328" s="4"/>
      <c r="F328" s="20" t="str">
        <f aca="false">IF(AND(D328="",E328=""),"",'Start Here'!$B$4+SUM($D$5:D328)+SUM($E$5:E328))</f>
        <v/>
      </c>
      <c r="G328" s="5"/>
    </row>
    <row r="329" customFormat="false" ht="15" hidden="false" customHeight="false" outlineLevel="0" collapsed="false">
      <c r="A329" s="19"/>
      <c r="B329" s="5"/>
      <c r="C329" s="5"/>
      <c r="D329" s="4"/>
      <c r="E329" s="4"/>
      <c r="F329" s="20" t="str">
        <f aca="false">IF(AND(D329="",E329=""),"",'Start Here'!$B$4+SUM($D$5:D329)+SUM($E$5:E329))</f>
        <v/>
      </c>
      <c r="G329" s="5"/>
    </row>
    <row r="330" customFormat="false" ht="15" hidden="false" customHeight="false" outlineLevel="0" collapsed="false">
      <c r="A330" s="19"/>
      <c r="B330" s="5"/>
      <c r="C330" s="5"/>
      <c r="D330" s="4"/>
      <c r="E330" s="4"/>
      <c r="F330" s="20" t="str">
        <f aca="false">IF(AND(D330="",E330=""),"",'Start Here'!$B$4+SUM($D$5:D330)+SUM($E$5:E330))</f>
        <v/>
      </c>
      <c r="G330" s="5"/>
    </row>
    <row r="331" customFormat="false" ht="15" hidden="false" customHeight="false" outlineLevel="0" collapsed="false">
      <c r="A331" s="19"/>
      <c r="B331" s="5"/>
      <c r="C331" s="5"/>
      <c r="D331" s="4"/>
      <c r="E331" s="4"/>
      <c r="F331" s="20" t="str">
        <f aca="false">IF(AND(D331="",E331=""),"",'Start Here'!$B$4+SUM($D$5:D331)+SUM($E$5:E331))</f>
        <v/>
      </c>
      <c r="G331" s="5"/>
    </row>
    <row r="332" customFormat="false" ht="15" hidden="false" customHeight="false" outlineLevel="0" collapsed="false">
      <c r="A332" s="19"/>
      <c r="B332" s="5"/>
      <c r="C332" s="5"/>
      <c r="D332" s="4"/>
      <c r="E332" s="4"/>
      <c r="F332" s="20" t="str">
        <f aca="false">IF(AND(D332="",E332=""),"",'Start Here'!$B$4+SUM($D$5:D332)+SUM($E$5:E332))</f>
        <v/>
      </c>
      <c r="G332" s="5"/>
    </row>
    <row r="333" customFormat="false" ht="15" hidden="false" customHeight="false" outlineLevel="0" collapsed="false">
      <c r="A333" s="19"/>
      <c r="B333" s="5"/>
      <c r="C333" s="5"/>
      <c r="D333" s="4"/>
      <c r="E333" s="4"/>
      <c r="F333" s="20" t="str">
        <f aca="false">IF(AND(D333="",E333=""),"",'Start Here'!$B$4+SUM($D$5:D333)+SUM($E$5:E333))</f>
        <v/>
      </c>
      <c r="G333" s="5"/>
    </row>
    <row r="334" customFormat="false" ht="15" hidden="false" customHeight="false" outlineLevel="0" collapsed="false">
      <c r="A334" s="19"/>
      <c r="B334" s="5"/>
      <c r="C334" s="5"/>
      <c r="D334" s="4"/>
      <c r="E334" s="4"/>
      <c r="F334" s="20" t="str">
        <f aca="false">IF(AND(D334="",E334=""),"",'Start Here'!$B$4+SUM($D$5:D334)+SUM($E$5:E334))</f>
        <v/>
      </c>
      <c r="G334" s="5"/>
    </row>
    <row r="335" customFormat="false" ht="15" hidden="false" customHeight="false" outlineLevel="0" collapsed="false">
      <c r="A335" s="19"/>
      <c r="B335" s="5"/>
      <c r="C335" s="5"/>
      <c r="D335" s="4"/>
      <c r="E335" s="4"/>
      <c r="F335" s="20" t="str">
        <f aca="false">IF(AND(D335="",E335=""),"",'Start Here'!$B$4+SUM($D$5:D335)+SUM($E$5:E335))</f>
        <v/>
      </c>
      <c r="G335" s="5"/>
    </row>
    <row r="336" customFormat="false" ht="15" hidden="false" customHeight="false" outlineLevel="0" collapsed="false">
      <c r="A336" s="19"/>
      <c r="B336" s="5"/>
      <c r="C336" s="5"/>
      <c r="D336" s="4"/>
      <c r="E336" s="4"/>
      <c r="F336" s="20" t="str">
        <f aca="false">IF(AND(D336="",E336=""),"",'Start Here'!$B$4+SUM($D$5:D336)+SUM($E$5:E336))</f>
        <v/>
      </c>
      <c r="G336" s="5"/>
    </row>
    <row r="337" customFormat="false" ht="15" hidden="false" customHeight="false" outlineLevel="0" collapsed="false">
      <c r="A337" s="19"/>
      <c r="B337" s="5"/>
      <c r="C337" s="5"/>
      <c r="D337" s="4"/>
      <c r="E337" s="4"/>
      <c r="F337" s="20" t="str">
        <f aca="false">IF(AND(D337="",E337=""),"",'Start Here'!$B$4+SUM($D$5:D337)+SUM($E$5:E337))</f>
        <v/>
      </c>
      <c r="G337" s="5"/>
    </row>
    <row r="338" customFormat="false" ht="15" hidden="false" customHeight="false" outlineLevel="0" collapsed="false">
      <c r="A338" s="19"/>
      <c r="B338" s="5"/>
      <c r="C338" s="5"/>
      <c r="D338" s="4"/>
      <c r="E338" s="4"/>
      <c r="F338" s="20" t="str">
        <f aca="false">IF(AND(D338="",E338=""),"",'Start Here'!$B$4+SUM($D$5:D338)+SUM($E$5:E338))</f>
        <v/>
      </c>
      <c r="G338" s="5"/>
    </row>
    <row r="339" customFormat="false" ht="15" hidden="false" customHeight="false" outlineLevel="0" collapsed="false">
      <c r="A339" s="19"/>
      <c r="B339" s="5"/>
      <c r="C339" s="5"/>
      <c r="D339" s="4"/>
      <c r="E339" s="4"/>
      <c r="F339" s="20" t="str">
        <f aca="false">IF(AND(D339="",E339=""),"",'Start Here'!$B$4+SUM($D$5:D339)+SUM($E$5:E339))</f>
        <v/>
      </c>
      <c r="G339" s="5"/>
    </row>
    <row r="340" customFormat="false" ht="15" hidden="false" customHeight="false" outlineLevel="0" collapsed="false">
      <c r="A340" s="19"/>
      <c r="B340" s="5"/>
      <c r="C340" s="5"/>
      <c r="D340" s="4"/>
      <c r="E340" s="4"/>
      <c r="F340" s="20" t="str">
        <f aca="false">IF(AND(D340="",E340=""),"",'Start Here'!$B$4+SUM($D$5:D340)+SUM($E$5:E340))</f>
        <v/>
      </c>
      <c r="G340" s="5"/>
    </row>
    <row r="341" customFormat="false" ht="15" hidden="false" customHeight="false" outlineLevel="0" collapsed="false">
      <c r="A341" s="19"/>
      <c r="B341" s="5"/>
      <c r="C341" s="5"/>
      <c r="D341" s="4"/>
      <c r="E341" s="4"/>
      <c r="F341" s="20" t="str">
        <f aca="false">IF(AND(D341="",E341=""),"",'Start Here'!$B$4+SUM($D$5:D341)+SUM($E$5:E341))</f>
        <v/>
      </c>
      <c r="G341" s="5"/>
    </row>
    <row r="342" customFormat="false" ht="15" hidden="false" customHeight="false" outlineLevel="0" collapsed="false">
      <c r="A342" s="19"/>
      <c r="B342" s="5"/>
      <c r="C342" s="5"/>
      <c r="D342" s="4"/>
      <c r="E342" s="4"/>
      <c r="F342" s="20" t="str">
        <f aca="false">IF(AND(D342="",E342=""),"",'Start Here'!$B$4+SUM($D$5:D342)+SUM($E$5:E342))</f>
        <v/>
      </c>
      <c r="G342" s="5"/>
    </row>
    <row r="343" customFormat="false" ht="15" hidden="false" customHeight="false" outlineLevel="0" collapsed="false">
      <c r="A343" s="19"/>
      <c r="B343" s="5"/>
      <c r="C343" s="5"/>
      <c r="D343" s="4"/>
      <c r="E343" s="4"/>
      <c r="F343" s="20" t="str">
        <f aca="false">IF(AND(D343="",E343=""),"",'Start Here'!$B$4+SUM($D$5:D343)+SUM($E$5:E343))</f>
        <v/>
      </c>
      <c r="G343" s="5"/>
    </row>
    <row r="344" customFormat="false" ht="15" hidden="false" customHeight="false" outlineLevel="0" collapsed="false">
      <c r="A344" s="19"/>
      <c r="B344" s="5"/>
      <c r="C344" s="5"/>
      <c r="D344" s="4"/>
      <c r="E344" s="4"/>
      <c r="F344" s="20" t="str">
        <f aca="false">IF(AND(D344="",E344=""),"",'Start Here'!$B$4+SUM($D$5:D344)+SUM($E$5:E344))</f>
        <v/>
      </c>
      <c r="G344" s="5"/>
    </row>
    <row r="345" customFormat="false" ht="15" hidden="false" customHeight="false" outlineLevel="0" collapsed="false">
      <c r="A345" s="19"/>
      <c r="B345" s="5"/>
      <c r="C345" s="5"/>
      <c r="D345" s="4"/>
      <c r="E345" s="4"/>
      <c r="F345" s="20" t="str">
        <f aca="false">IF(AND(D345="",E345=""),"",'Start Here'!$B$4+SUM($D$5:D345)+SUM($E$5:E345))</f>
        <v/>
      </c>
      <c r="G345" s="5"/>
    </row>
    <row r="346" customFormat="false" ht="15" hidden="false" customHeight="false" outlineLevel="0" collapsed="false">
      <c r="A346" s="19"/>
      <c r="B346" s="5"/>
      <c r="C346" s="5"/>
      <c r="D346" s="4"/>
      <c r="E346" s="4"/>
      <c r="F346" s="20" t="str">
        <f aca="false">IF(AND(D346="",E346=""),"",'Start Here'!$B$4+SUM($D$5:D346)+SUM($E$5:E346))</f>
        <v/>
      </c>
      <c r="G346" s="5"/>
    </row>
    <row r="347" customFormat="false" ht="15" hidden="false" customHeight="false" outlineLevel="0" collapsed="false">
      <c r="A347" s="19"/>
      <c r="B347" s="5"/>
      <c r="C347" s="5"/>
      <c r="D347" s="4"/>
      <c r="E347" s="4"/>
      <c r="F347" s="20" t="str">
        <f aca="false">IF(AND(D347="",E347=""),"",'Start Here'!$B$4+SUM($D$5:D347)+SUM($E$5:E347))</f>
        <v/>
      </c>
      <c r="G347" s="5"/>
    </row>
    <row r="348" customFormat="false" ht="15" hidden="false" customHeight="false" outlineLevel="0" collapsed="false">
      <c r="A348" s="19"/>
      <c r="B348" s="5"/>
      <c r="C348" s="5"/>
      <c r="D348" s="4"/>
      <c r="E348" s="4"/>
      <c r="F348" s="20" t="str">
        <f aca="false">IF(AND(D348="",E348=""),"",'Start Here'!$B$4+SUM($D$5:D348)+SUM($E$5:E348))</f>
        <v/>
      </c>
      <c r="G348" s="5"/>
    </row>
    <row r="349" customFormat="false" ht="15" hidden="false" customHeight="false" outlineLevel="0" collapsed="false">
      <c r="A349" s="19"/>
      <c r="B349" s="5"/>
      <c r="C349" s="5"/>
      <c r="D349" s="4"/>
      <c r="E349" s="4"/>
      <c r="F349" s="20" t="str">
        <f aca="false">IF(AND(D349="",E349=""),"",'Start Here'!$B$4+SUM($D$5:D349)+SUM($E$5:E349))</f>
        <v/>
      </c>
      <c r="G349" s="5"/>
    </row>
    <row r="350" customFormat="false" ht="15" hidden="false" customHeight="false" outlineLevel="0" collapsed="false">
      <c r="A350" s="19"/>
      <c r="B350" s="5"/>
      <c r="C350" s="5"/>
      <c r="D350" s="4"/>
      <c r="E350" s="4"/>
      <c r="F350" s="20" t="str">
        <f aca="false">IF(AND(D350="",E350=""),"",'Start Here'!$B$4+SUM($D$5:D350)+SUM($E$5:E350))</f>
        <v/>
      </c>
      <c r="G350" s="5"/>
    </row>
    <row r="351" customFormat="false" ht="15" hidden="false" customHeight="false" outlineLevel="0" collapsed="false">
      <c r="A351" s="19"/>
      <c r="B351" s="5"/>
      <c r="C351" s="5"/>
      <c r="D351" s="4"/>
      <c r="E351" s="4"/>
      <c r="F351" s="20" t="str">
        <f aca="false">IF(AND(D351="",E351=""),"",'Start Here'!$B$4+SUM($D$5:D351)+SUM($E$5:E351))</f>
        <v/>
      </c>
      <c r="G351" s="5"/>
    </row>
    <row r="352" customFormat="false" ht="15" hidden="false" customHeight="false" outlineLevel="0" collapsed="false">
      <c r="A352" s="19"/>
      <c r="B352" s="5"/>
      <c r="C352" s="5"/>
      <c r="D352" s="4"/>
      <c r="E352" s="4"/>
      <c r="F352" s="20" t="str">
        <f aca="false">IF(AND(D352="",E352=""),"",'Start Here'!$B$4+SUM($D$5:D352)+SUM($E$5:E352))</f>
        <v/>
      </c>
      <c r="G352" s="5"/>
    </row>
    <row r="353" customFormat="false" ht="15" hidden="false" customHeight="false" outlineLevel="0" collapsed="false">
      <c r="A353" s="19"/>
      <c r="B353" s="5"/>
      <c r="C353" s="5"/>
      <c r="D353" s="4"/>
      <c r="E353" s="4"/>
      <c r="F353" s="20" t="str">
        <f aca="false">IF(AND(D353="",E353=""),"",'Start Here'!$B$4+SUM($D$5:D353)+SUM($E$5:E353))</f>
        <v/>
      </c>
      <c r="G353" s="5"/>
    </row>
    <row r="354" customFormat="false" ht="15" hidden="false" customHeight="false" outlineLevel="0" collapsed="false">
      <c r="A354" s="19"/>
      <c r="B354" s="5"/>
      <c r="C354" s="5"/>
      <c r="D354" s="4"/>
      <c r="E354" s="4"/>
      <c r="F354" s="20" t="str">
        <f aca="false">IF(AND(D354="",E354=""),"",'Start Here'!$B$4+SUM($D$5:D354)+SUM($E$5:E354))</f>
        <v/>
      </c>
      <c r="G354" s="5"/>
    </row>
    <row r="355" customFormat="false" ht="15" hidden="false" customHeight="false" outlineLevel="0" collapsed="false">
      <c r="A355" s="19"/>
      <c r="B355" s="5"/>
      <c r="C355" s="5"/>
      <c r="D355" s="4"/>
      <c r="E355" s="4"/>
      <c r="F355" s="20" t="str">
        <f aca="false">IF(AND(D355="",E355=""),"",'Start Here'!$B$4+SUM($D$5:D355)+SUM($E$5:E355))</f>
        <v/>
      </c>
      <c r="G355" s="5"/>
    </row>
    <row r="356" customFormat="false" ht="15" hidden="false" customHeight="false" outlineLevel="0" collapsed="false">
      <c r="A356" s="19"/>
      <c r="B356" s="5"/>
      <c r="C356" s="5"/>
      <c r="D356" s="4"/>
      <c r="E356" s="4"/>
      <c r="F356" s="20" t="str">
        <f aca="false">IF(AND(D356="",E356=""),"",'Start Here'!$B$4+SUM($D$5:D356)+SUM($E$5:E356))</f>
        <v/>
      </c>
      <c r="G356" s="5"/>
    </row>
    <row r="357" customFormat="false" ht="15" hidden="false" customHeight="false" outlineLevel="0" collapsed="false">
      <c r="A357" s="19"/>
      <c r="B357" s="5"/>
      <c r="C357" s="5"/>
      <c r="D357" s="4"/>
      <c r="E357" s="4"/>
      <c r="F357" s="20" t="str">
        <f aca="false">IF(AND(D357="",E357=""),"",'Start Here'!$B$4+SUM($D$5:D357)+SUM($E$5:E357))</f>
        <v/>
      </c>
      <c r="G357" s="5"/>
    </row>
    <row r="358" customFormat="false" ht="15" hidden="false" customHeight="false" outlineLevel="0" collapsed="false">
      <c r="A358" s="19"/>
      <c r="B358" s="5"/>
      <c r="C358" s="5"/>
      <c r="D358" s="4"/>
      <c r="E358" s="4"/>
      <c r="F358" s="20" t="str">
        <f aca="false">IF(AND(D358="",E358=""),"",'Start Here'!$B$4+SUM($D$5:D358)+SUM($E$5:E358))</f>
        <v/>
      </c>
      <c r="G358" s="5"/>
    </row>
    <row r="359" customFormat="false" ht="15" hidden="false" customHeight="false" outlineLevel="0" collapsed="false">
      <c r="A359" s="19"/>
      <c r="B359" s="5"/>
      <c r="C359" s="5"/>
      <c r="D359" s="4"/>
      <c r="E359" s="4"/>
      <c r="F359" s="20" t="str">
        <f aca="false">IF(AND(D359="",E359=""),"",'Start Here'!$B$4+SUM($D$5:D359)+SUM($E$5:E359))</f>
        <v/>
      </c>
      <c r="G359" s="5"/>
    </row>
    <row r="360" customFormat="false" ht="15" hidden="false" customHeight="false" outlineLevel="0" collapsed="false">
      <c r="A360" s="19"/>
      <c r="B360" s="5"/>
      <c r="C360" s="5"/>
      <c r="D360" s="4"/>
      <c r="E360" s="4"/>
      <c r="F360" s="20" t="str">
        <f aca="false">IF(AND(D360="",E360=""),"",'Start Here'!$B$4+SUM($D$5:D360)+SUM($E$5:E360))</f>
        <v/>
      </c>
      <c r="G360" s="5"/>
    </row>
    <row r="361" customFormat="false" ht="15" hidden="false" customHeight="false" outlineLevel="0" collapsed="false">
      <c r="A361" s="19"/>
      <c r="B361" s="5"/>
      <c r="C361" s="5"/>
      <c r="D361" s="4"/>
      <c r="E361" s="4"/>
      <c r="F361" s="20" t="str">
        <f aca="false">IF(AND(D361="",E361=""),"",'Start Here'!$B$4+SUM($D$5:D361)+SUM($E$5:E361))</f>
        <v/>
      </c>
      <c r="G361" s="5"/>
    </row>
    <row r="362" customFormat="false" ht="15" hidden="false" customHeight="false" outlineLevel="0" collapsed="false">
      <c r="A362" s="19"/>
      <c r="B362" s="5"/>
      <c r="C362" s="5"/>
      <c r="D362" s="4"/>
      <c r="E362" s="4"/>
      <c r="F362" s="20" t="str">
        <f aca="false">IF(AND(D362="",E362=""),"",'Start Here'!$B$4+SUM($D$5:D362)+SUM($E$5:E362))</f>
        <v/>
      </c>
      <c r="G362" s="5"/>
    </row>
    <row r="363" customFormat="false" ht="15" hidden="false" customHeight="false" outlineLevel="0" collapsed="false">
      <c r="A363" s="19"/>
      <c r="B363" s="5"/>
      <c r="C363" s="5"/>
      <c r="D363" s="4"/>
      <c r="E363" s="4"/>
      <c r="F363" s="20" t="str">
        <f aca="false">IF(AND(D363="",E363=""),"",'Start Here'!$B$4+SUM($D$5:D363)+SUM($E$5:E363))</f>
        <v/>
      </c>
      <c r="G363" s="5"/>
    </row>
    <row r="364" customFormat="false" ht="15" hidden="false" customHeight="false" outlineLevel="0" collapsed="false">
      <c r="A364" s="19"/>
      <c r="B364" s="5"/>
      <c r="C364" s="5"/>
      <c r="D364" s="4"/>
      <c r="E364" s="4"/>
      <c r="F364" s="20" t="str">
        <f aca="false">IF(AND(D364="",E364=""),"",'Start Here'!$B$4+SUM($D$5:D364)+SUM($E$5:E364))</f>
        <v/>
      </c>
      <c r="G364" s="5"/>
    </row>
    <row r="365" customFormat="false" ht="15" hidden="false" customHeight="false" outlineLevel="0" collapsed="false">
      <c r="A365" s="19"/>
      <c r="B365" s="5"/>
      <c r="C365" s="5"/>
      <c r="D365" s="4"/>
      <c r="E365" s="4"/>
      <c r="F365" s="20" t="str">
        <f aca="false">IF(AND(D365="",E365=""),"",'Start Here'!$B$4+SUM($D$5:D365)+SUM($E$5:E365))</f>
        <v/>
      </c>
      <c r="G365" s="5"/>
    </row>
    <row r="366" customFormat="false" ht="15" hidden="false" customHeight="false" outlineLevel="0" collapsed="false">
      <c r="A366" s="19"/>
      <c r="B366" s="5"/>
      <c r="C366" s="5"/>
      <c r="D366" s="4"/>
      <c r="E366" s="4"/>
      <c r="F366" s="20" t="str">
        <f aca="false">IF(AND(D366="",E366=""),"",'Start Here'!$B$4+SUM($D$5:D366)+SUM($E$5:E366))</f>
        <v/>
      </c>
      <c r="G366" s="5"/>
    </row>
    <row r="367" customFormat="false" ht="15" hidden="false" customHeight="false" outlineLevel="0" collapsed="false">
      <c r="A367" s="19"/>
      <c r="B367" s="5"/>
      <c r="C367" s="5"/>
      <c r="D367" s="4"/>
      <c r="E367" s="4"/>
      <c r="F367" s="20" t="str">
        <f aca="false">IF(AND(D367="",E367=""),"",'Start Here'!$B$4+SUM($D$5:D367)+SUM($E$5:E367))</f>
        <v/>
      </c>
      <c r="G367" s="5"/>
    </row>
    <row r="368" customFormat="false" ht="15" hidden="false" customHeight="false" outlineLevel="0" collapsed="false">
      <c r="A368" s="19"/>
      <c r="B368" s="5"/>
      <c r="C368" s="5"/>
      <c r="D368" s="4"/>
      <c r="E368" s="4"/>
      <c r="F368" s="20" t="str">
        <f aca="false">IF(AND(D368="",E368=""),"",'Start Here'!$B$4+SUM($D$5:D368)+SUM($E$5:E368))</f>
        <v/>
      </c>
      <c r="G368" s="5"/>
    </row>
    <row r="369" customFormat="false" ht="15" hidden="false" customHeight="false" outlineLevel="0" collapsed="false">
      <c r="A369" s="19"/>
      <c r="B369" s="5"/>
      <c r="C369" s="5"/>
      <c r="D369" s="4"/>
      <c r="E369" s="4"/>
      <c r="F369" s="20" t="str">
        <f aca="false">IF(AND(D369="",E369=""),"",'Start Here'!$B$4+SUM($D$5:D369)+SUM($E$5:E369))</f>
        <v/>
      </c>
      <c r="G369" s="5"/>
    </row>
    <row r="370" customFormat="false" ht="15" hidden="false" customHeight="false" outlineLevel="0" collapsed="false">
      <c r="A370" s="19"/>
      <c r="B370" s="5"/>
      <c r="C370" s="5"/>
      <c r="D370" s="4"/>
      <c r="E370" s="4"/>
      <c r="F370" s="20" t="str">
        <f aca="false">IF(AND(D370="",E370=""),"",'Start Here'!$B$4+SUM($D$5:D370)+SUM($E$5:E370))</f>
        <v/>
      </c>
      <c r="G370" s="5"/>
    </row>
    <row r="371" customFormat="false" ht="15" hidden="false" customHeight="false" outlineLevel="0" collapsed="false">
      <c r="A371" s="19"/>
      <c r="B371" s="5"/>
      <c r="C371" s="5"/>
      <c r="D371" s="4"/>
      <c r="E371" s="4"/>
      <c r="F371" s="20" t="str">
        <f aca="false">IF(AND(D371="",E371=""),"",'Start Here'!$B$4+SUM($D$5:D371)+SUM($E$5:E371))</f>
        <v/>
      </c>
      <c r="G371" s="5"/>
    </row>
    <row r="372" customFormat="false" ht="15" hidden="false" customHeight="false" outlineLevel="0" collapsed="false">
      <c r="A372" s="19"/>
      <c r="B372" s="5"/>
      <c r="C372" s="5"/>
      <c r="D372" s="4"/>
      <c r="E372" s="4"/>
      <c r="F372" s="20" t="str">
        <f aca="false">IF(AND(D372="",E372=""),"",'Start Here'!$B$4+SUM($D$5:D372)+SUM($E$5:E372))</f>
        <v/>
      </c>
      <c r="G372" s="5"/>
    </row>
    <row r="373" customFormat="false" ht="15" hidden="false" customHeight="false" outlineLevel="0" collapsed="false">
      <c r="A373" s="19"/>
      <c r="B373" s="5"/>
      <c r="C373" s="5"/>
      <c r="D373" s="4"/>
      <c r="E373" s="4"/>
      <c r="F373" s="20" t="str">
        <f aca="false">IF(AND(D373="",E373=""),"",'Start Here'!$B$4+SUM($D$5:D373)+SUM($E$5:E373))</f>
        <v/>
      </c>
      <c r="G373" s="5"/>
    </row>
    <row r="374" customFormat="false" ht="15" hidden="false" customHeight="false" outlineLevel="0" collapsed="false">
      <c r="A374" s="19"/>
      <c r="B374" s="5"/>
      <c r="C374" s="5"/>
      <c r="D374" s="4"/>
      <c r="E374" s="4"/>
      <c r="F374" s="20" t="str">
        <f aca="false">IF(AND(D374="",E374=""),"",'Start Here'!$B$4+SUM($D$5:D374)+SUM($E$5:E374))</f>
        <v/>
      </c>
      <c r="G374" s="5"/>
    </row>
    <row r="375" customFormat="false" ht="15" hidden="false" customHeight="false" outlineLevel="0" collapsed="false">
      <c r="A375" s="19"/>
      <c r="B375" s="5"/>
      <c r="C375" s="5"/>
      <c r="D375" s="4"/>
      <c r="E375" s="4"/>
      <c r="F375" s="20" t="str">
        <f aca="false">IF(AND(D375="",E375=""),"",'Start Here'!$B$4+SUM($D$5:D375)+SUM($E$5:E375))</f>
        <v/>
      </c>
      <c r="G375" s="5"/>
    </row>
    <row r="376" customFormat="false" ht="15" hidden="false" customHeight="false" outlineLevel="0" collapsed="false">
      <c r="A376" s="19"/>
      <c r="B376" s="5"/>
      <c r="C376" s="5"/>
      <c r="D376" s="4"/>
      <c r="E376" s="4"/>
      <c r="F376" s="20" t="str">
        <f aca="false">IF(AND(D376="",E376=""),"",'Start Here'!$B$4+SUM($D$5:D376)+SUM($E$5:E376))</f>
        <v/>
      </c>
      <c r="G376" s="5"/>
    </row>
    <row r="377" customFormat="false" ht="15" hidden="false" customHeight="false" outlineLevel="0" collapsed="false">
      <c r="A377" s="19"/>
      <c r="B377" s="5"/>
      <c r="C377" s="5"/>
      <c r="D377" s="4"/>
      <c r="E377" s="4"/>
      <c r="F377" s="20" t="str">
        <f aca="false">IF(AND(D377="",E377=""),"",'Start Here'!$B$4+SUM($D$5:D377)+SUM($E$5:E377))</f>
        <v/>
      </c>
      <c r="G377" s="5"/>
    </row>
    <row r="378" customFormat="false" ht="15" hidden="false" customHeight="false" outlineLevel="0" collapsed="false">
      <c r="A378" s="19"/>
      <c r="B378" s="5"/>
      <c r="C378" s="5"/>
      <c r="D378" s="4"/>
      <c r="E378" s="4"/>
      <c r="F378" s="20" t="str">
        <f aca="false">IF(AND(D378="",E378=""),"",'Start Here'!$B$4+SUM($D$5:D378)+SUM($E$5:E378))</f>
        <v/>
      </c>
      <c r="G378" s="5"/>
    </row>
    <row r="379" customFormat="false" ht="15" hidden="false" customHeight="false" outlineLevel="0" collapsed="false">
      <c r="A379" s="19"/>
      <c r="B379" s="5"/>
      <c r="C379" s="5"/>
      <c r="D379" s="4"/>
      <c r="E379" s="4"/>
      <c r="F379" s="20" t="str">
        <f aca="false">IF(AND(D379="",E379=""),"",'Start Here'!$B$4+SUM($D$5:D379)+SUM($E$5:E379))</f>
        <v/>
      </c>
      <c r="G379" s="5"/>
    </row>
    <row r="380" customFormat="false" ht="15" hidden="false" customHeight="false" outlineLevel="0" collapsed="false">
      <c r="A380" s="19"/>
      <c r="B380" s="5"/>
      <c r="C380" s="5"/>
      <c r="D380" s="4"/>
      <c r="E380" s="4"/>
      <c r="F380" s="20" t="str">
        <f aca="false">IF(AND(D380="",E380=""),"",'Start Here'!$B$4+SUM($D$5:D380)+SUM($E$5:E380))</f>
        <v/>
      </c>
      <c r="G380" s="5"/>
    </row>
    <row r="381" customFormat="false" ht="15" hidden="false" customHeight="false" outlineLevel="0" collapsed="false">
      <c r="A381" s="19"/>
      <c r="B381" s="5"/>
      <c r="C381" s="5"/>
      <c r="D381" s="4"/>
      <c r="E381" s="4"/>
      <c r="F381" s="20" t="str">
        <f aca="false">IF(AND(D381="",E381=""),"",'Start Here'!$B$4+SUM($D$5:D381)+SUM($E$5:E381))</f>
        <v/>
      </c>
      <c r="G381" s="5"/>
    </row>
    <row r="382" customFormat="false" ht="15" hidden="false" customHeight="false" outlineLevel="0" collapsed="false">
      <c r="A382" s="19"/>
      <c r="B382" s="5"/>
      <c r="C382" s="5"/>
      <c r="D382" s="4"/>
      <c r="E382" s="4"/>
      <c r="F382" s="20" t="str">
        <f aca="false">IF(AND(D382="",E382=""),"",'Start Here'!$B$4+SUM($D$5:D382)+SUM($E$5:E382))</f>
        <v/>
      </c>
      <c r="G382" s="5"/>
    </row>
    <row r="383" customFormat="false" ht="15" hidden="false" customHeight="false" outlineLevel="0" collapsed="false">
      <c r="A383" s="19"/>
      <c r="B383" s="5"/>
      <c r="C383" s="5"/>
      <c r="D383" s="4"/>
      <c r="E383" s="4"/>
      <c r="F383" s="20" t="str">
        <f aca="false">IF(AND(D383="",E383=""),"",'Start Here'!$B$4+SUM($D$5:D383)+SUM($E$5:E383))</f>
        <v/>
      </c>
      <c r="G383" s="5"/>
    </row>
    <row r="384" customFormat="false" ht="15" hidden="false" customHeight="false" outlineLevel="0" collapsed="false">
      <c r="A384" s="19"/>
      <c r="B384" s="5"/>
      <c r="C384" s="5"/>
      <c r="D384" s="4"/>
      <c r="E384" s="4"/>
      <c r="F384" s="20" t="str">
        <f aca="false">IF(AND(D384="",E384=""),"",'Start Here'!$B$4+SUM($D$5:D384)+SUM($E$5:E384))</f>
        <v/>
      </c>
      <c r="G384" s="5"/>
    </row>
    <row r="385" customFormat="false" ht="15" hidden="false" customHeight="false" outlineLevel="0" collapsed="false">
      <c r="A385" s="19"/>
      <c r="B385" s="5"/>
      <c r="C385" s="5"/>
      <c r="D385" s="4"/>
      <c r="E385" s="4"/>
      <c r="F385" s="20" t="str">
        <f aca="false">IF(AND(D385="",E385=""),"",'Start Here'!$B$4+SUM($D$5:D385)+SUM($E$5:E385))</f>
        <v/>
      </c>
      <c r="G385" s="5"/>
    </row>
    <row r="386" customFormat="false" ht="15" hidden="false" customHeight="false" outlineLevel="0" collapsed="false">
      <c r="A386" s="19"/>
      <c r="B386" s="5"/>
      <c r="C386" s="5"/>
      <c r="D386" s="4"/>
      <c r="E386" s="4"/>
      <c r="F386" s="20" t="str">
        <f aca="false">IF(AND(D386="",E386=""),"",'Start Here'!$B$4+SUM($D$5:D386)+SUM($E$5:E386))</f>
        <v/>
      </c>
      <c r="G386" s="5"/>
    </row>
    <row r="387" customFormat="false" ht="15" hidden="false" customHeight="false" outlineLevel="0" collapsed="false">
      <c r="A387" s="19"/>
      <c r="B387" s="5"/>
      <c r="C387" s="5"/>
      <c r="D387" s="4"/>
      <c r="E387" s="4"/>
      <c r="F387" s="20" t="str">
        <f aca="false">IF(AND(D387="",E387=""),"",'Start Here'!$B$4+SUM($D$5:D387)+SUM($E$5:E387))</f>
        <v/>
      </c>
      <c r="G387" s="5"/>
    </row>
    <row r="388" customFormat="false" ht="15" hidden="false" customHeight="false" outlineLevel="0" collapsed="false">
      <c r="A388" s="19"/>
      <c r="B388" s="5"/>
      <c r="C388" s="5"/>
      <c r="D388" s="4"/>
      <c r="E388" s="4"/>
      <c r="F388" s="20" t="str">
        <f aca="false">IF(AND(D388="",E388=""),"",'Start Here'!$B$4+SUM($D$5:D388)+SUM($E$5:E388))</f>
        <v/>
      </c>
      <c r="G388" s="5"/>
    </row>
    <row r="389" customFormat="false" ht="15" hidden="false" customHeight="false" outlineLevel="0" collapsed="false">
      <c r="A389" s="19"/>
      <c r="B389" s="5"/>
      <c r="C389" s="5"/>
      <c r="D389" s="4"/>
      <c r="E389" s="4"/>
      <c r="F389" s="20" t="str">
        <f aca="false">IF(AND(D389="",E389=""),"",'Start Here'!$B$4+SUM($D$5:D389)+SUM($E$5:E389))</f>
        <v/>
      </c>
      <c r="G389" s="5"/>
    </row>
    <row r="390" customFormat="false" ht="15" hidden="false" customHeight="false" outlineLevel="0" collapsed="false">
      <c r="A390" s="19"/>
      <c r="B390" s="5"/>
      <c r="C390" s="5"/>
      <c r="D390" s="4"/>
      <c r="E390" s="4"/>
      <c r="F390" s="20" t="str">
        <f aca="false">IF(AND(D390="",E390=""),"",'Start Here'!$B$4+SUM($D$5:D390)+SUM($E$5:E390))</f>
        <v/>
      </c>
      <c r="G390" s="5"/>
    </row>
    <row r="391" customFormat="false" ht="15" hidden="false" customHeight="false" outlineLevel="0" collapsed="false">
      <c r="A391" s="19"/>
      <c r="B391" s="5"/>
      <c r="C391" s="5"/>
      <c r="D391" s="4"/>
      <c r="E391" s="4"/>
      <c r="F391" s="20" t="str">
        <f aca="false">IF(AND(D391="",E391=""),"",'Start Here'!$B$4+SUM($D$5:D391)+SUM($E$5:E391))</f>
        <v/>
      </c>
      <c r="G391" s="5"/>
    </row>
    <row r="392" customFormat="false" ht="15" hidden="false" customHeight="false" outlineLevel="0" collapsed="false">
      <c r="A392" s="19"/>
      <c r="B392" s="5"/>
      <c r="C392" s="5"/>
      <c r="D392" s="4"/>
      <c r="E392" s="4"/>
      <c r="F392" s="20" t="str">
        <f aca="false">IF(AND(D392="",E392=""),"",'Start Here'!$B$4+SUM($D$5:D392)+SUM($E$5:E392))</f>
        <v/>
      </c>
      <c r="G392" s="5"/>
    </row>
    <row r="393" customFormat="false" ht="15" hidden="false" customHeight="false" outlineLevel="0" collapsed="false">
      <c r="A393" s="19"/>
      <c r="B393" s="5"/>
      <c r="C393" s="5"/>
      <c r="D393" s="4"/>
      <c r="E393" s="4"/>
      <c r="F393" s="20" t="str">
        <f aca="false">IF(AND(D393="",E393=""),"",'Start Here'!$B$4+SUM($D$5:D393)+SUM($E$5:E393))</f>
        <v/>
      </c>
      <c r="G393" s="5"/>
    </row>
    <row r="394" customFormat="false" ht="15" hidden="false" customHeight="false" outlineLevel="0" collapsed="false">
      <c r="A394" s="19"/>
      <c r="B394" s="5"/>
      <c r="C394" s="5"/>
      <c r="D394" s="4"/>
      <c r="E394" s="4"/>
      <c r="F394" s="20" t="str">
        <f aca="false">IF(AND(D394="",E394=""),"",'Start Here'!$B$4+SUM($D$5:D394)+SUM($E$5:E394))</f>
        <v/>
      </c>
      <c r="G394" s="5"/>
    </row>
    <row r="395" customFormat="false" ht="15" hidden="false" customHeight="false" outlineLevel="0" collapsed="false">
      <c r="A395" s="19"/>
      <c r="B395" s="5"/>
      <c r="C395" s="5"/>
      <c r="D395" s="4"/>
      <c r="E395" s="4"/>
      <c r="F395" s="20" t="str">
        <f aca="false">IF(AND(D395="",E395=""),"",'Start Here'!$B$4+SUM($D$5:D395)+SUM($E$5:E395))</f>
        <v/>
      </c>
      <c r="G395" s="5"/>
    </row>
    <row r="396" customFormat="false" ht="15" hidden="false" customHeight="false" outlineLevel="0" collapsed="false">
      <c r="A396" s="19"/>
      <c r="B396" s="5"/>
      <c r="C396" s="5"/>
      <c r="D396" s="4"/>
      <c r="E396" s="4"/>
      <c r="F396" s="20" t="str">
        <f aca="false">IF(AND(D396="",E396=""),"",'Start Here'!$B$4+SUM($D$5:D396)+SUM($E$5:E396))</f>
        <v/>
      </c>
      <c r="G396" s="5"/>
    </row>
    <row r="397" customFormat="false" ht="15" hidden="false" customHeight="false" outlineLevel="0" collapsed="false">
      <c r="A397" s="19"/>
      <c r="B397" s="5"/>
      <c r="C397" s="5"/>
      <c r="D397" s="4"/>
      <c r="E397" s="4"/>
      <c r="F397" s="20" t="str">
        <f aca="false">IF(AND(D397="",E397=""),"",'Start Here'!$B$4+SUM($D$5:D397)+SUM($E$5:E397))</f>
        <v/>
      </c>
      <c r="G397" s="5"/>
    </row>
    <row r="398" customFormat="false" ht="15" hidden="false" customHeight="false" outlineLevel="0" collapsed="false">
      <c r="A398" s="19"/>
      <c r="B398" s="5"/>
      <c r="C398" s="5"/>
      <c r="D398" s="4"/>
      <c r="E398" s="4"/>
      <c r="F398" s="20" t="str">
        <f aca="false">IF(AND(D398="",E398=""),"",'Start Here'!$B$4+SUM($D$5:D398)+SUM($E$5:E398))</f>
        <v/>
      </c>
      <c r="G398" s="5"/>
    </row>
    <row r="399" customFormat="false" ht="15" hidden="false" customHeight="false" outlineLevel="0" collapsed="false">
      <c r="A399" s="19"/>
      <c r="B399" s="5"/>
      <c r="C399" s="5"/>
      <c r="D399" s="4"/>
      <c r="E399" s="4"/>
      <c r="F399" s="20" t="str">
        <f aca="false">IF(AND(D399="",E399=""),"",'Start Here'!$B$4+SUM($D$5:D399)+SUM($E$5:E399))</f>
        <v/>
      </c>
      <c r="G399" s="5"/>
    </row>
    <row r="400" customFormat="false" ht="15" hidden="false" customHeight="false" outlineLevel="0" collapsed="false">
      <c r="A400" s="19"/>
      <c r="B400" s="5"/>
      <c r="C400" s="5"/>
      <c r="D400" s="4"/>
      <c r="E400" s="4"/>
      <c r="F400" s="20" t="str">
        <f aca="false">IF(AND(D400="",E400=""),"",'Start Here'!$B$4+SUM($D$5:D400)+SUM($E$5:E400))</f>
        <v/>
      </c>
      <c r="G400" s="5"/>
    </row>
    <row r="401" customFormat="false" ht="15" hidden="false" customHeight="false" outlineLevel="0" collapsed="false">
      <c r="A401" s="19"/>
      <c r="B401" s="5"/>
      <c r="C401" s="5"/>
      <c r="D401" s="4"/>
      <c r="E401" s="4"/>
      <c r="F401" s="20" t="str">
        <f aca="false">IF(AND(D401="",E401=""),"",'Start Here'!$B$4+SUM($D$5:D401)+SUM($E$5:E401))</f>
        <v/>
      </c>
      <c r="G401" s="5"/>
    </row>
    <row r="402" customFormat="false" ht="15" hidden="false" customHeight="false" outlineLevel="0" collapsed="false">
      <c r="A402" s="19"/>
      <c r="B402" s="5"/>
      <c r="C402" s="5"/>
      <c r="D402" s="4"/>
      <c r="E402" s="4"/>
      <c r="F402" s="20" t="str">
        <f aca="false">IF(AND(D402="",E402=""),"",'Start Here'!$B$4+SUM($D$5:D402)+SUM($E$5:E402))</f>
        <v/>
      </c>
      <c r="G402" s="5"/>
    </row>
    <row r="403" customFormat="false" ht="15" hidden="false" customHeight="false" outlineLevel="0" collapsed="false">
      <c r="A403" s="19"/>
      <c r="B403" s="5"/>
      <c r="C403" s="5"/>
      <c r="D403" s="4"/>
      <c r="E403" s="4"/>
      <c r="F403" s="20" t="str">
        <f aca="false">IF(AND(D403="",E403=""),"",'Start Here'!$B$4+SUM($D$5:D403)+SUM($E$5:E403))</f>
        <v/>
      </c>
      <c r="G403" s="5"/>
    </row>
    <row r="404" customFormat="false" ht="15" hidden="false" customHeight="false" outlineLevel="0" collapsed="false">
      <c r="A404" s="19"/>
      <c r="B404" s="5"/>
      <c r="C404" s="5"/>
      <c r="D404" s="4"/>
      <c r="E404" s="4"/>
      <c r="F404" s="20" t="str">
        <f aca="false">IF(AND(D404="",E404=""),"",'Start Here'!$B$4+SUM($D$5:D404)+SUM($E$5:E404))</f>
        <v/>
      </c>
      <c r="G404" s="5"/>
    </row>
    <row r="405" customFormat="false" ht="15" hidden="false" customHeight="false" outlineLevel="0" collapsed="false">
      <c r="A405" s="19"/>
      <c r="B405" s="5"/>
      <c r="C405" s="5"/>
      <c r="D405" s="4"/>
      <c r="E405" s="4"/>
      <c r="F405" s="20" t="str">
        <f aca="false">IF(AND(D405="",E405=""),"",'Start Here'!$B$4+SUM($D$5:D405)+SUM($E$5:E405))</f>
        <v/>
      </c>
      <c r="G405" s="5"/>
    </row>
    <row r="406" customFormat="false" ht="15" hidden="false" customHeight="false" outlineLevel="0" collapsed="false">
      <c r="A406" s="19"/>
      <c r="B406" s="5"/>
      <c r="C406" s="5"/>
      <c r="D406" s="4"/>
      <c r="E406" s="4"/>
      <c r="F406" s="20" t="str">
        <f aca="false">IF(AND(D406="",E406=""),"",'Start Here'!$B$4+SUM($D$5:D406)+SUM($E$5:E406))</f>
        <v/>
      </c>
      <c r="G406" s="5"/>
    </row>
    <row r="407" customFormat="false" ht="15" hidden="false" customHeight="false" outlineLevel="0" collapsed="false">
      <c r="A407" s="19"/>
      <c r="B407" s="5"/>
      <c r="C407" s="5"/>
      <c r="D407" s="4"/>
      <c r="E407" s="4"/>
      <c r="F407" s="20" t="str">
        <f aca="false">IF(AND(D407="",E407=""),"",'Start Here'!$B$4+SUM($D$5:D407)+SUM($E$5:E407))</f>
        <v/>
      </c>
      <c r="G407" s="5"/>
    </row>
    <row r="408" customFormat="false" ht="15" hidden="false" customHeight="false" outlineLevel="0" collapsed="false">
      <c r="A408" s="19"/>
      <c r="B408" s="5"/>
      <c r="C408" s="5"/>
      <c r="D408" s="4"/>
      <c r="E408" s="4"/>
      <c r="F408" s="20" t="str">
        <f aca="false">IF(AND(D408="",E408=""),"",'Start Here'!$B$4+SUM($D$5:D408)+SUM($E$5:E408))</f>
        <v/>
      </c>
      <c r="G408" s="5"/>
    </row>
    <row r="409" customFormat="false" ht="15" hidden="false" customHeight="false" outlineLevel="0" collapsed="false">
      <c r="A409" s="19"/>
      <c r="B409" s="5"/>
      <c r="C409" s="5"/>
      <c r="D409" s="4"/>
      <c r="E409" s="4"/>
      <c r="F409" s="20" t="str">
        <f aca="false">IF(AND(D409="",E409=""),"",'Start Here'!$B$4+SUM($D$5:D409)+SUM($E$5:E409))</f>
        <v/>
      </c>
      <c r="G409" s="5"/>
    </row>
    <row r="410" customFormat="false" ht="15" hidden="false" customHeight="false" outlineLevel="0" collapsed="false">
      <c r="A410" s="19"/>
      <c r="B410" s="5"/>
      <c r="C410" s="5"/>
      <c r="D410" s="4"/>
      <c r="E410" s="4"/>
      <c r="F410" s="20" t="str">
        <f aca="false">IF(AND(D410="",E410=""),"",'Start Here'!$B$4+SUM($D$5:D410)+SUM($E$5:E410))</f>
        <v/>
      </c>
      <c r="G410" s="5"/>
    </row>
    <row r="411" customFormat="false" ht="15" hidden="false" customHeight="false" outlineLevel="0" collapsed="false">
      <c r="A411" s="19"/>
      <c r="B411" s="5"/>
      <c r="C411" s="5"/>
      <c r="D411" s="4"/>
      <c r="E411" s="4"/>
      <c r="F411" s="20" t="str">
        <f aca="false">IF(AND(D411="",E411=""),"",'Start Here'!$B$4+SUM($D$5:D411)+SUM($E$5:E411))</f>
        <v/>
      </c>
      <c r="G411" s="5"/>
    </row>
    <row r="412" customFormat="false" ht="15" hidden="false" customHeight="false" outlineLevel="0" collapsed="false">
      <c r="A412" s="19"/>
      <c r="B412" s="5"/>
      <c r="C412" s="5"/>
      <c r="D412" s="4"/>
      <c r="E412" s="4"/>
      <c r="F412" s="20" t="str">
        <f aca="false">IF(AND(D412="",E412=""),"",'Start Here'!$B$4+SUM($D$5:D412)+SUM($E$5:E412))</f>
        <v/>
      </c>
      <c r="G412" s="5"/>
    </row>
    <row r="413" customFormat="false" ht="15" hidden="false" customHeight="false" outlineLevel="0" collapsed="false">
      <c r="A413" s="19"/>
      <c r="B413" s="5"/>
      <c r="C413" s="5"/>
      <c r="D413" s="4"/>
      <c r="E413" s="4"/>
      <c r="F413" s="20" t="str">
        <f aca="false">IF(AND(D413="",E413=""),"",'Start Here'!$B$4+SUM($D$5:D413)+SUM($E$5:E413))</f>
        <v/>
      </c>
      <c r="G413" s="5"/>
    </row>
    <row r="414" customFormat="false" ht="15" hidden="false" customHeight="false" outlineLevel="0" collapsed="false">
      <c r="A414" s="19"/>
      <c r="B414" s="5"/>
      <c r="C414" s="5"/>
      <c r="D414" s="4"/>
      <c r="E414" s="4"/>
      <c r="F414" s="20" t="str">
        <f aca="false">IF(AND(D414="",E414=""),"",'Start Here'!$B$4+SUM($D$5:D414)+SUM($E$5:E414))</f>
        <v/>
      </c>
      <c r="G414" s="5"/>
    </row>
    <row r="415" customFormat="false" ht="15" hidden="false" customHeight="false" outlineLevel="0" collapsed="false">
      <c r="A415" s="19"/>
      <c r="B415" s="5"/>
      <c r="C415" s="5"/>
      <c r="D415" s="4"/>
      <c r="E415" s="4"/>
      <c r="F415" s="20" t="str">
        <f aca="false">IF(AND(D415="",E415=""),"",'Start Here'!$B$4+SUM($D$5:D415)+SUM($E$5:E415))</f>
        <v/>
      </c>
      <c r="G415" s="5"/>
    </row>
    <row r="416" customFormat="false" ht="15" hidden="false" customHeight="false" outlineLevel="0" collapsed="false">
      <c r="A416" s="19"/>
      <c r="B416" s="5"/>
      <c r="C416" s="5"/>
      <c r="D416" s="4"/>
      <c r="E416" s="4"/>
      <c r="F416" s="20" t="str">
        <f aca="false">IF(AND(D416="",E416=""),"",'Start Here'!$B$4+SUM($D$5:D416)+SUM($E$5:E416))</f>
        <v/>
      </c>
      <c r="G416" s="5"/>
    </row>
    <row r="417" customFormat="false" ht="15" hidden="false" customHeight="false" outlineLevel="0" collapsed="false">
      <c r="A417" s="19"/>
      <c r="B417" s="5"/>
      <c r="C417" s="5"/>
      <c r="D417" s="4"/>
      <c r="E417" s="4"/>
      <c r="F417" s="20" t="str">
        <f aca="false">IF(AND(D417="",E417=""),"",'Start Here'!$B$4+SUM($D$5:D417)+SUM($E$5:E417))</f>
        <v/>
      </c>
      <c r="G417" s="5"/>
    </row>
    <row r="418" customFormat="false" ht="15" hidden="false" customHeight="false" outlineLevel="0" collapsed="false">
      <c r="A418" s="19"/>
      <c r="B418" s="5"/>
      <c r="C418" s="5"/>
      <c r="D418" s="4"/>
      <c r="E418" s="4"/>
      <c r="F418" s="20" t="str">
        <f aca="false">IF(AND(D418="",E418=""),"",'Start Here'!$B$4+SUM($D$5:D418)+SUM($E$5:E418))</f>
        <v/>
      </c>
      <c r="G418" s="5"/>
    </row>
    <row r="419" customFormat="false" ht="15" hidden="false" customHeight="false" outlineLevel="0" collapsed="false">
      <c r="A419" s="19"/>
      <c r="B419" s="5"/>
      <c r="C419" s="5"/>
      <c r="D419" s="4"/>
      <c r="E419" s="4"/>
      <c r="F419" s="20" t="str">
        <f aca="false">IF(AND(D419="",E419=""),"",'Start Here'!$B$4+SUM($D$5:D419)+SUM($E$5:E419))</f>
        <v/>
      </c>
      <c r="G419" s="5"/>
    </row>
    <row r="420" customFormat="false" ht="15" hidden="false" customHeight="false" outlineLevel="0" collapsed="false">
      <c r="A420" s="19"/>
      <c r="B420" s="5"/>
      <c r="C420" s="5"/>
      <c r="D420" s="4"/>
      <c r="E420" s="4"/>
      <c r="F420" s="20" t="str">
        <f aca="false">IF(AND(D420="",E420=""),"",'Start Here'!$B$4+SUM($D$5:D420)+SUM($E$5:E420))</f>
        <v/>
      </c>
      <c r="G420" s="5"/>
    </row>
    <row r="421" customFormat="false" ht="15" hidden="false" customHeight="false" outlineLevel="0" collapsed="false">
      <c r="A421" s="19"/>
      <c r="B421" s="5"/>
      <c r="C421" s="5"/>
      <c r="D421" s="4"/>
      <c r="E421" s="4"/>
      <c r="F421" s="20" t="str">
        <f aca="false">IF(AND(D421="",E421=""),"",'Start Here'!$B$4+SUM($D$5:D421)+SUM($E$5:E421))</f>
        <v/>
      </c>
      <c r="G421" s="5"/>
    </row>
    <row r="422" customFormat="false" ht="15" hidden="false" customHeight="false" outlineLevel="0" collapsed="false">
      <c r="A422" s="19"/>
      <c r="B422" s="5"/>
      <c r="C422" s="5"/>
      <c r="D422" s="4"/>
      <c r="E422" s="4"/>
      <c r="F422" s="20" t="str">
        <f aca="false">IF(AND(D422="",E422=""),"",'Start Here'!$B$4+SUM($D$5:D422)+SUM($E$5:E422))</f>
        <v/>
      </c>
      <c r="G422" s="5"/>
    </row>
    <row r="423" customFormat="false" ht="15" hidden="false" customHeight="false" outlineLevel="0" collapsed="false">
      <c r="A423" s="19"/>
      <c r="B423" s="5"/>
      <c r="C423" s="5"/>
      <c r="D423" s="4"/>
      <c r="E423" s="4"/>
      <c r="F423" s="20" t="str">
        <f aca="false">IF(AND(D423="",E423=""),"",'Start Here'!$B$4+SUM($D$5:D423)+SUM($E$5:E423))</f>
        <v/>
      </c>
      <c r="G423" s="5"/>
    </row>
    <row r="424" customFormat="false" ht="15" hidden="false" customHeight="false" outlineLevel="0" collapsed="false">
      <c r="A424" s="19"/>
      <c r="B424" s="5"/>
      <c r="C424" s="5"/>
      <c r="D424" s="4"/>
      <c r="E424" s="4"/>
      <c r="F424" s="20" t="str">
        <f aca="false">IF(AND(D424="",E424=""),"",'Start Here'!$B$4+SUM($D$5:D424)+SUM($E$5:E424))</f>
        <v/>
      </c>
      <c r="G424" s="5"/>
    </row>
    <row r="425" customFormat="false" ht="15" hidden="false" customHeight="false" outlineLevel="0" collapsed="false">
      <c r="A425" s="19"/>
      <c r="B425" s="5"/>
      <c r="C425" s="5"/>
      <c r="D425" s="4"/>
      <c r="E425" s="4"/>
      <c r="F425" s="20" t="str">
        <f aca="false">IF(AND(D425="",E425=""),"",'Start Here'!$B$4+SUM($D$5:D425)+SUM($E$5:E425))</f>
        <v/>
      </c>
      <c r="G425" s="5"/>
    </row>
    <row r="426" customFormat="false" ht="15" hidden="false" customHeight="false" outlineLevel="0" collapsed="false">
      <c r="A426" s="19"/>
      <c r="B426" s="5"/>
      <c r="C426" s="5"/>
      <c r="D426" s="4"/>
      <c r="E426" s="4"/>
      <c r="F426" s="20" t="str">
        <f aca="false">IF(AND(D426="",E426=""),"",'Start Here'!$B$4+SUM($D$5:D426)+SUM($E$5:E426))</f>
        <v/>
      </c>
      <c r="G426" s="5"/>
    </row>
    <row r="427" customFormat="false" ht="15" hidden="false" customHeight="false" outlineLevel="0" collapsed="false">
      <c r="A427" s="19"/>
      <c r="B427" s="5"/>
      <c r="C427" s="5"/>
      <c r="D427" s="4"/>
      <c r="E427" s="4"/>
      <c r="F427" s="20" t="str">
        <f aca="false">IF(AND(D427="",E427=""),"",'Start Here'!$B$4+SUM($D$5:D427)+SUM($E$5:E427))</f>
        <v/>
      </c>
      <c r="G427" s="5"/>
    </row>
    <row r="428" customFormat="false" ht="15" hidden="false" customHeight="false" outlineLevel="0" collapsed="false">
      <c r="A428" s="19"/>
      <c r="B428" s="5"/>
      <c r="C428" s="5"/>
      <c r="D428" s="4"/>
      <c r="E428" s="4"/>
      <c r="F428" s="20" t="str">
        <f aca="false">IF(AND(D428="",E428=""),"",'Start Here'!$B$4+SUM($D$5:D428)+SUM($E$5:E428))</f>
        <v/>
      </c>
      <c r="G428" s="5"/>
    </row>
    <row r="429" customFormat="false" ht="15" hidden="false" customHeight="false" outlineLevel="0" collapsed="false">
      <c r="A429" s="19"/>
      <c r="B429" s="5"/>
      <c r="C429" s="5"/>
      <c r="D429" s="4"/>
      <c r="E429" s="4"/>
      <c r="F429" s="20" t="str">
        <f aca="false">IF(AND(D429="",E429=""),"",'Start Here'!$B$4+SUM($D$5:D429)+SUM($E$5:E429))</f>
        <v/>
      </c>
      <c r="G429" s="5"/>
    </row>
    <row r="430" customFormat="false" ht="15" hidden="false" customHeight="false" outlineLevel="0" collapsed="false">
      <c r="A430" s="19"/>
      <c r="B430" s="5"/>
      <c r="C430" s="5"/>
      <c r="D430" s="4"/>
      <c r="E430" s="4"/>
      <c r="F430" s="20" t="str">
        <f aca="false">IF(AND(D430="",E430=""),"",'Start Here'!$B$4+SUM($D$5:D430)+SUM($E$5:E430))</f>
        <v/>
      </c>
      <c r="G430" s="5"/>
    </row>
    <row r="431" customFormat="false" ht="15" hidden="false" customHeight="false" outlineLevel="0" collapsed="false">
      <c r="A431" s="19"/>
      <c r="B431" s="5"/>
      <c r="C431" s="5"/>
      <c r="D431" s="4"/>
      <c r="E431" s="4"/>
      <c r="F431" s="20" t="str">
        <f aca="false">IF(AND(D431="",E431=""),"",'Start Here'!$B$4+SUM($D$5:D431)+SUM($E$5:E431))</f>
        <v/>
      </c>
      <c r="G431" s="5"/>
    </row>
    <row r="432" customFormat="false" ht="15" hidden="false" customHeight="false" outlineLevel="0" collapsed="false">
      <c r="A432" s="19"/>
      <c r="B432" s="5"/>
      <c r="C432" s="5"/>
      <c r="D432" s="4"/>
      <c r="E432" s="4"/>
      <c r="F432" s="20" t="str">
        <f aca="false">IF(AND(D432="",E432=""),"",'Start Here'!$B$4+SUM($D$5:D432)+SUM($E$5:E432))</f>
        <v/>
      </c>
      <c r="G432" s="5"/>
    </row>
    <row r="433" customFormat="false" ht="15" hidden="false" customHeight="false" outlineLevel="0" collapsed="false">
      <c r="A433" s="19"/>
      <c r="B433" s="5"/>
      <c r="C433" s="5"/>
      <c r="D433" s="4"/>
      <c r="E433" s="4"/>
      <c r="F433" s="20" t="str">
        <f aca="false">IF(AND(D433="",E433=""),"",'Start Here'!$B$4+SUM($D$5:D433)+SUM($E$5:E433))</f>
        <v/>
      </c>
      <c r="G433" s="5"/>
    </row>
    <row r="434" customFormat="false" ht="15" hidden="false" customHeight="false" outlineLevel="0" collapsed="false">
      <c r="A434" s="19"/>
      <c r="B434" s="5"/>
      <c r="C434" s="5"/>
      <c r="D434" s="4"/>
      <c r="E434" s="4"/>
      <c r="F434" s="20" t="str">
        <f aca="false">IF(AND(D434="",E434=""),"",'Start Here'!$B$4+SUM($D$5:D434)+SUM($E$5:E434))</f>
        <v/>
      </c>
      <c r="G434" s="5"/>
    </row>
    <row r="435" customFormat="false" ht="15" hidden="false" customHeight="false" outlineLevel="0" collapsed="false">
      <c r="A435" s="19"/>
      <c r="B435" s="5"/>
      <c r="C435" s="5"/>
      <c r="D435" s="4"/>
      <c r="E435" s="4"/>
      <c r="F435" s="20" t="str">
        <f aca="false">IF(AND(D435="",E435=""),"",'Start Here'!$B$4+SUM($D$5:D435)+SUM($E$5:E435))</f>
        <v/>
      </c>
      <c r="G435" s="5"/>
    </row>
    <row r="436" customFormat="false" ht="15" hidden="false" customHeight="false" outlineLevel="0" collapsed="false">
      <c r="A436" s="19"/>
      <c r="B436" s="5"/>
      <c r="C436" s="5"/>
      <c r="D436" s="4"/>
      <c r="E436" s="4"/>
      <c r="F436" s="20" t="str">
        <f aca="false">IF(AND(D436="",E436=""),"",'Start Here'!$B$4+SUM($D$5:D436)+SUM($E$5:E436))</f>
        <v/>
      </c>
      <c r="G436" s="5"/>
    </row>
    <row r="437" customFormat="false" ht="15" hidden="false" customHeight="false" outlineLevel="0" collapsed="false">
      <c r="A437" s="19"/>
      <c r="B437" s="5"/>
      <c r="C437" s="5"/>
      <c r="D437" s="4"/>
      <c r="E437" s="4"/>
      <c r="F437" s="20" t="str">
        <f aca="false">IF(AND(D437="",E437=""),"",'Start Here'!$B$4+SUM($D$5:D437)+SUM($E$5:E437))</f>
        <v/>
      </c>
      <c r="G437" s="5"/>
    </row>
    <row r="438" customFormat="false" ht="15" hidden="false" customHeight="false" outlineLevel="0" collapsed="false">
      <c r="A438" s="19"/>
      <c r="B438" s="5"/>
      <c r="C438" s="5"/>
      <c r="D438" s="4"/>
      <c r="E438" s="4"/>
      <c r="F438" s="20" t="str">
        <f aca="false">IF(AND(D438="",E438=""),"",'Start Here'!$B$4+SUM($D$5:D438)+SUM($E$5:E438))</f>
        <v/>
      </c>
      <c r="G438" s="5"/>
    </row>
    <row r="439" customFormat="false" ht="15" hidden="false" customHeight="false" outlineLevel="0" collapsed="false">
      <c r="A439" s="19"/>
      <c r="B439" s="5"/>
      <c r="C439" s="5"/>
      <c r="D439" s="4"/>
      <c r="E439" s="4"/>
      <c r="F439" s="20" t="str">
        <f aca="false">IF(AND(D439="",E439=""),"",'Start Here'!$B$4+SUM($D$5:D439)+SUM($E$5:E439))</f>
        <v/>
      </c>
      <c r="G439" s="5"/>
    </row>
    <row r="440" customFormat="false" ht="15" hidden="false" customHeight="false" outlineLevel="0" collapsed="false">
      <c r="A440" s="19"/>
      <c r="B440" s="5"/>
      <c r="C440" s="5"/>
      <c r="D440" s="4"/>
      <c r="E440" s="4"/>
      <c r="F440" s="20" t="str">
        <f aca="false">IF(AND(D440="",E440=""),"",'Start Here'!$B$4+SUM($D$5:D440)+SUM($E$5:E440))</f>
        <v/>
      </c>
      <c r="G440" s="5"/>
    </row>
    <row r="441" customFormat="false" ht="15" hidden="false" customHeight="false" outlineLevel="0" collapsed="false">
      <c r="A441" s="19"/>
      <c r="B441" s="5"/>
      <c r="C441" s="5"/>
      <c r="D441" s="4"/>
      <c r="E441" s="4"/>
      <c r="F441" s="20" t="str">
        <f aca="false">IF(AND(D441="",E441=""),"",'Start Here'!$B$4+SUM($D$5:D441)+SUM($E$5:E441))</f>
        <v/>
      </c>
      <c r="G441" s="5"/>
    </row>
    <row r="442" customFormat="false" ht="15" hidden="false" customHeight="false" outlineLevel="0" collapsed="false">
      <c r="A442" s="19"/>
      <c r="B442" s="5"/>
      <c r="C442" s="5"/>
      <c r="D442" s="4"/>
      <c r="E442" s="4"/>
      <c r="F442" s="20" t="str">
        <f aca="false">IF(AND(D442="",E442=""),"",'Start Here'!$B$4+SUM($D$5:D442)+SUM($E$5:E442))</f>
        <v/>
      </c>
      <c r="G442" s="5"/>
    </row>
    <row r="443" customFormat="false" ht="15" hidden="false" customHeight="false" outlineLevel="0" collapsed="false">
      <c r="A443" s="19"/>
      <c r="B443" s="5"/>
      <c r="C443" s="5"/>
      <c r="D443" s="4"/>
      <c r="E443" s="4"/>
      <c r="F443" s="20" t="str">
        <f aca="false">IF(AND(D443="",E443=""),"",'Start Here'!$B$4+SUM($D$5:D443)+SUM($E$5:E443))</f>
        <v/>
      </c>
      <c r="G443" s="5"/>
    </row>
    <row r="444" customFormat="false" ht="15" hidden="false" customHeight="false" outlineLevel="0" collapsed="false">
      <c r="A444" s="19"/>
      <c r="B444" s="5"/>
      <c r="C444" s="5"/>
      <c r="D444" s="4"/>
      <c r="E444" s="4"/>
      <c r="F444" s="20" t="str">
        <f aca="false">IF(AND(D444="",E444=""),"",'Start Here'!$B$4+SUM($D$5:D444)+SUM($E$5:E444))</f>
        <v/>
      </c>
      <c r="G444" s="5"/>
    </row>
    <row r="445" customFormat="false" ht="15" hidden="false" customHeight="false" outlineLevel="0" collapsed="false">
      <c r="A445" s="19"/>
      <c r="B445" s="5"/>
      <c r="C445" s="5"/>
      <c r="D445" s="4"/>
      <c r="E445" s="4"/>
      <c r="F445" s="20" t="str">
        <f aca="false">IF(AND(D445="",E445=""),"",'Start Here'!$B$4+SUM($D$5:D445)+SUM($E$5:E445))</f>
        <v/>
      </c>
      <c r="G445" s="5"/>
    </row>
    <row r="446" customFormat="false" ht="15" hidden="false" customHeight="false" outlineLevel="0" collapsed="false">
      <c r="A446" s="19"/>
      <c r="B446" s="5"/>
      <c r="C446" s="5"/>
      <c r="D446" s="4"/>
      <c r="E446" s="4"/>
      <c r="F446" s="20" t="str">
        <f aca="false">IF(AND(D446="",E446=""),"",'Start Here'!$B$4+SUM($D$5:D446)+SUM($E$5:E446))</f>
        <v/>
      </c>
      <c r="G446" s="5"/>
    </row>
    <row r="447" customFormat="false" ht="15" hidden="false" customHeight="false" outlineLevel="0" collapsed="false">
      <c r="A447" s="19"/>
      <c r="B447" s="5"/>
      <c r="C447" s="5"/>
      <c r="D447" s="4"/>
      <c r="E447" s="4"/>
      <c r="F447" s="20" t="str">
        <f aca="false">IF(AND(D447="",E447=""),"",'Start Here'!$B$4+SUM($D$5:D447)+SUM($E$5:E447))</f>
        <v/>
      </c>
      <c r="G447" s="5"/>
    </row>
    <row r="448" customFormat="false" ht="15" hidden="false" customHeight="false" outlineLevel="0" collapsed="false">
      <c r="A448" s="19"/>
      <c r="B448" s="5"/>
      <c r="C448" s="5"/>
      <c r="D448" s="4"/>
      <c r="E448" s="4"/>
      <c r="F448" s="20" t="str">
        <f aca="false">IF(AND(D448="",E448=""),"",'Start Here'!$B$4+SUM($D$5:D448)+SUM($E$5:E448))</f>
        <v/>
      </c>
      <c r="G448" s="5"/>
    </row>
    <row r="449" customFormat="false" ht="15" hidden="false" customHeight="false" outlineLevel="0" collapsed="false">
      <c r="A449" s="19"/>
      <c r="B449" s="5"/>
      <c r="C449" s="5"/>
      <c r="D449" s="4"/>
      <c r="E449" s="4"/>
      <c r="F449" s="20" t="str">
        <f aca="false">IF(AND(D449="",E449=""),"",'Start Here'!$B$4+SUM($D$5:D449)+SUM($E$5:E449))</f>
        <v/>
      </c>
      <c r="G449" s="5"/>
    </row>
    <row r="450" customFormat="false" ht="15" hidden="false" customHeight="false" outlineLevel="0" collapsed="false">
      <c r="A450" s="19"/>
      <c r="B450" s="5"/>
      <c r="C450" s="5"/>
      <c r="D450" s="4"/>
      <c r="E450" s="4"/>
      <c r="F450" s="20" t="str">
        <f aca="false">IF(AND(D450="",E450=""),"",'Start Here'!$B$4+SUM($D$5:D450)+SUM($E$5:E450))</f>
        <v/>
      </c>
      <c r="G450" s="5"/>
    </row>
    <row r="451" customFormat="false" ht="15" hidden="false" customHeight="false" outlineLevel="0" collapsed="false">
      <c r="A451" s="19"/>
      <c r="B451" s="5"/>
      <c r="C451" s="5"/>
      <c r="D451" s="4"/>
      <c r="E451" s="4"/>
      <c r="F451" s="20" t="str">
        <f aca="false">IF(AND(D451="",E451=""),"",'Start Here'!$B$4+SUM($D$5:D451)+SUM($E$5:E451))</f>
        <v/>
      </c>
      <c r="G451" s="5"/>
    </row>
    <row r="452" customFormat="false" ht="15" hidden="false" customHeight="false" outlineLevel="0" collapsed="false">
      <c r="A452" s="19"/>
      <c r="B452" s="5"/>
      <c r="C452" s="5"/>
      <c r="D452" s="4"/>
      <c r="E452" s="4"/>
      <c r="F452" s="20" t="str">
        <f aca="false">IF(AND(D452="",E452=""),"",'Start Here'!$B$4+SUM($D$5:D452)+SUM($E$5:E452))</f>
        <v/>
      </c>
      <c r="G452" s="5"/>
    </row>
    <row r="453" customFormat="false" ht="15" hidden="false" customHeight="false" outlineLevel="0" collapsed="false">
      <c r="A453" s="19"/>
      <c r="B453" s="5"/>
      <c r="C453" s="5"/>
      <c r="D453" s="4"/>
      <c r="E453" s="4"/>
      <c r="F453" s="20" t="str">
        <f aca="false">IF(AND(D453="",E453=""),"",'Start Here'!$B$4+SUM($D$5:D453)+SUM($E$5:E453))</f>
        <v/>
      </c>
      <c r="G453" s="5"/>
    </row>
    <row r="454" customFormat="false" ht="15" hidden="false" customHeight="false" outlineLevel="0" collapsed="false">
      <c r="A454" s="19"/>
      <c r="B454" s="5"/>
      <c r="C454" s="5"/>
      <c r="D454" s="4"/>
      <c r="E454" s="4"/>
      <c r="F454" s="20" t="str">
        <f aca="false">IF(AND(D454="",E454=""),"",'Start Here'!$B$4+SUM($D$5:D454)+SUM($E$5:E454))</f>
        <v/>
      </c>
      <c r="G454" s="5"/>
    </row>
    <row r="455" customFormat="false" ht="15" hidden="false" customHeight="false" outlineLevel="0" collapsed="false">
      <c r="A455" s="19"/>
      <c r="B455" s="5"/>
      <c r="C455" s="5"/>
      <c r="D455" s="4"/>
      <c r="E455" s="4"/>
      <c r="F455" s="20" t="str">
        <f aca="false">IF(AND(D455="",E455=""),"",'Start Here'!$B$4+SUM($D$5:D455)+SUM($E$5:E455))</f>
        <v/>
      </c>
      <c r="G455" s="5"/>
    </row>
    <row r="456" customFormat="false" ht="15" hidden="false" customHeight="false" outlineLevel="0" collapsed="false">
      <c r="A456" s="19"/>
      <c r="B456" s="5"/>
      <c r="C456" s="5"/>
      <c r="D456" s="4"/>
      <c r="E456" s="4"/>
      <c r="F456" s="20" t="str">
        <f aca="false">IF(AND(D456="",E456=""),"",'Start Here'!$B$4+SUM($D$5:D456)+SUM($E$5:E456))</f>
        <v/>
      </c>
      <c r="G456" s="5"/>
    </row>
    <row r="457" customFormat="false" ht="15" hidden="false" customHeight="false" outlineLevel="0" collapsed="false">
      <c r="A457" s="19"/>
      <c r="B457" s="5"/>
      <c r="C457" s="5"/>
      <c r="D457" s="4"/>
      <c r="E457" s="4"/>
      <c r="F457" s="20" t="str">
        <f aca="false">IF(AND(D457="",E457=""),"",'Start Here'!$B$4+SUM($D$5:D457)+SUM($E$5:E457))</f>
        <v/>
      </c>
      <c r="G457" s="5"/>
    </row>
    <row r="458" customFormat="false" ht="15" hidden="false" customHeight="false" outlineLevel="0" collapsed="false">
      <c r="A458" s="19"/>
      <c r="B458" s="5"/>
      <c r="C458" s="5"/>
      <c r="D458" s="4"/>
      <c r="E458" s="4"/>
      <c r="F458" s="20" t="str">
        <f aca="false">IF(AND(D458="",E458=""),"",'Start Here'!$B$4+SUM($D$5:D458)+SUM($E$5:E458))</f>
        <v/>
      </c>
      <c r="G458" s="5"/>
    </row>
    <row r="459" customFormat="false" ht="15" hidden="false" customHeight="false" outlineLevel="0" collapsed="false">
      <c r="A459" s="19"/>
      <c r="B459" s="5"/>
      <c r="C459" s="5"/>
      <c r="D459" s="4"/>
      <c r="E459" s="4"/>
      <c r="F459" s="20" t="str">
        <f aca="false">IF(AND(D459="",E459=""),"",'Start Here'!$B$4+SUM($D$5:D459)+SUM($E$5:E459))</f>
        <v/>
      </c>
      <c r="G459" s="5"/>
    </row>
    <row r="460" customFormat="false" ht="15" hidden="false" customHeight="false" outlineLevel="0" collapsed="false">
      <c r="A460" s="19"/>
      <c r="B460" s="5"/>
      <c r="C460" s="5"/>
      <c r="D460" s="4"/>
      <c r="E460" s="4"/>
      <c r="F460" s="20" t="str">
        <f aca="false">IF(AND(D460="",E460=""),"",'Start Here'!$B$4+SUM($D$5:D460)+SUM($E$5:E460))</f>
        <v/>
      </c>
      <c r="G460" s="5"/>
    </row>
    <row r="461" customFormat="false" ht="15" hidden="false" customHeight="false" outlineLevel="0" collapsed="false">
      <c r="A461" s="19"/>
      <c r="B461" s="5"/>
      <c r="C461" s="5"/>
      <c r="D461" s="4"/>
      <c r="E461" s="4"/>
      <c r="F461" s="20" t="str">
        <f aca="false">IF(AND(D461="",E461=""),"",'Start Here'!$B$4+SUM($D$5:D461)+SUM($E$5:E461))</f>
        <v/>
      </c>
      <c r="G461" s="5"/>
    </row>
    <row r="462" customFormat="false" ht="15" hidden="false" customHeight="false" outlineLevel="0" collapsed="false">
      <c r="A462" s="19"/>
      <c r="B462" s="5"/>
      <c r="C462" s="5"/>
      <c r="D462" s="4"/>
      <c r="E462" s="4"/>
      <c r="F462" s="20" t="str">
        <f aca="false">IF(AND(D462="",E462=""),"",'Start Here'!$B$4+SUM($D$5:D462)+SUM($E$5:E462))</f>
        <v/>
      </c>
      <c r="G462" s="5"/>
    </row>
    <row r="463" customFormat="false" ht="15" hidden="false" customHeight="false" outlineLevel="0" collapsed="false">
      <c r="A463" s="19"/>
      <c r="B463" s="5"/>
      <c r="C463" s="5"/>
      <c r="D463" s="4"/>
      <c r="E463" s="4"/>
      <c r="F463" s="20" t="str">
        <f aca="false">IF(AND(D463="",E463=""),"",'Start Here'!$B$4+SUM($D$5:D463)+SUM($E$5:E463))</f>
        <v/>
      </c>
      <c r="G463" s="5"/>
    </row>
    <row r="464" customFormat="false" ht="15" hidden="false" customHeight="false" outlineLevel="0" collapsed="false">
      <c r="A464" s="19"/>
      <c r="B464" s="5"/>
      <c r="C464" s="5"/>
      <c r="D464" s="4"/>
      <c r="E464" s="4"/>
      <c r="F464" s="20" t="str">
        <f aca="false">IF(AND(D464="",E464=""),"",'Start Here'!$B$4+SUM($D$5:D464)+SUM($E$5:E464))</f>
        <v/>
      </c>
      <c r="G464" s="5"/>
    </row>
    <row r="465" customFormat="false" ht="15" hidden="false" customHeight="false" outlineLevel="0" collapsed="false">
      <c r="A465" s="19"/>
      <c r="B465" s="5"/>
      <c r="C465" s="5"/>
      <c r="D465" s="4"/>
      <c r="E465" s="4"/>
      <c r="F465" s="20" t="str">
        <f aca="false">IF(AND(D465="",E465=""),"",'Start Here'!$B$4+SUM($D$5:D465)+SUM($E$5:E465))</f>
        <v/>
      </c>
      <c r="G465" s="5"/>
    </row>
    <row r="466" customFormat="false" ht="15" hidden="false" customHeight="false" outlineLevel="0" collapsed="false">
      <c r="A466" s="19"/>
      <c r="B466" s="5"/>
      <c r="C466" s="5"/>
      <c r="D466" s="4"/>
      <c r="E466" s="4"/>
      <c r="F466" s="20" t="str">
        <f aca="false">IF(AND(D466="",E466=""),"",'Start Here'!$B$4+SUM($D$5:D466)+SUM($E$5:E466))</f>
        <v/>
      </c>
      <c r="G466" s="5"/>
    </row>
    <row r="467" customFormat="false" ht="15" hidden="false" customHeight="false" outlineLevel="0" collapsed="false">
      <c r="A467" s="19"/>
      <c r="B467" s="5"/>
      <c r="C467" s="5"/>
      <c r="D467" s="4"/>
      <c r="E467" s="4"/>
      <c r="F467" s="20" t="str">
        <f aca="false">IF(AND(D467="",E467=""),"",'Start Here'!$B$4+SUM($D$5:D467)+SUM($E$5:E467))</f>
        <v/>
      </c>
      <c r="G467" s="5"/>
    </row>
    <row r="468" customFormat="false" ht="15" hidden="false" customHeight="false" outlineLevel="0" collapsed="false">
      <c r="A468" s="19"/>
      <c r="B468" s="5"/>
      <c r="C468" s="5"/>
      <c r="D468" s="4"/>
      <c r="E468" s="4"/>
      <c r="F468" s="20" t="str">
        <f aca="false">IF(AND(D468="",E468=""),"",'Start Here'!$B$4+SUM($D$5:D468)+SUM($E$5:E468))</f>
        <v/>
      </c>
      <c r="G468" s="5"/>
    </row>
    <row r="469" customFormat="false" ht="15" hidden="false" customHeight="false" outlineLevel="0" collapsed="false">
      <c r="A469" s="19"/>
      <c r="B469" s="5"/>
      <c r="C469" s="5"/>
      <c r="D469" s="4"/>
      <c r="E469" s="4"/>
      <c r="F469" s="20" t="str">
        <f aca="false">IF(AND(D469="",E469=""),"",'Start Here'!$B$4+SUM($D$5:D469)+SUM($E$5:E469))</f>
        <v/>
      </c>
      <c r="G469" s="5"/>
    </row>
    <row r="470" customFormat="false" ht="15" hidden="false" customHeight="false" outlineLevel="0" collapsed="false">
      <c r="A470" s="19"/>
      <c r="B470" s="5"/>
      <c r="C470" s="5"/>
      <c r="D470" s="4"/>
      <c r="E470" s="4"/>
      <c r="F470" s="20" t="str">
        <f aca="false">IF(AND(D470="",E470=""),"",'Start Here'!$B$4+SUM($D$5:D470)+SUM($E$5:E470))</f>
        <v/>
      </c>
      <c r="G470" s="5"/>
    </row>
    <row r="471" customFormat="false" ht="15" hidden="false" customHeight="false" outlineLevel="0" collapsed="false">
      <c r="A471" s="19"/>
      <c r="B471" s="5"/>
      <c r="C471" s="5"/>
      <c r="D471" s="4"/>
      <c r="E471" s="4"/>
      <c r="F471" s="20" t="str">
        <f aca="false">IF(AND(D471="",E471=""),"",'Start Here'!$B$4+SUM($D$5:D471)+SUM($E$5:E471))</f>
        <v/>
      </c>
      <c r="G471" s="5"/>
    </row>
    <row r="472" customFormat="false" ht="15" hidden="false" customHeight="false" outlineLevel="0" collapsed="false">
      <c r="A472" s="19"/>
      <c r="B472" s="5"/>
      <c r="C472" s="5"/>
      <c r="D472" s="4"/>
      <c r="E472" s="4"/>
      <c r="F472" s="20" t="str">
        <f aca="false">IF(AND(D472="",E472=""),"",'Start Here'!$B$4+SUM($D$5:D472)+SUM($E$5:E472))</f>
        <v/>
      </c>
      <c r="G472" s="5"/>
    </row>
    <row r="473" customFormat="false" ht="15" hidden="false" customHeight="false" outlineLevel="0" collapsed="false">
      <c r="A473" s="19"/>
      <c r="B473" s="5"/>
      <c r="C473" s="5"/>
      <c r="D473" s="4"/>
      <c r="E473" s="4"/>
      <c r="F473" s="20" t="str">
        <f aca="false">IF(AND(D473="",E473=""),"",'Start Here'!$B$4+SUM($D$5:D473)+SUM($E$5:E473))</f>
        <v/>
      </c>
      <c r="G473" s="5"/>
    </row>
    <row r="474" customFormat="false" ht="15" hidden="false" customHeight="false" outlineLevel="0" collapsed="false">
      <c r="A474" s="19"/>
      <c r="B474" s="5"/>
      <c r="C474" s="5"/>
      <c r="D474" s="4"/>
      <c r="E474" s="4"/>
      <c r="F474" s="20" t="str">
        <f aca="false">IF(AND(D474="",E474=""),"",'Start Here'!$B$4+SUM($D$5:D474)+SUM($E$5:E474))</f>
        <v/>
      </c>
      <c r="G474" s="5"/>
    </row>
    <row r="475" customFormat="false" ht="15" hidden="false" customHeight="false" outlineLevel="0" collapsed="false">
      <c r="A475" s="19"/>
      <c r="B475" s="5"/>
      <c r="C475" s="5"/>
      <c r="D475" s="4"/>
      <c r="E475" s="4"/>
      <c r="F475" s="20" t="str">
        <f aca="false">IF(AND(D475="",E475=""),"",'Start Here'!$B$4+SUM($D$5:D475)+SUM($E$5:E475))</f>
        <v/>
      </c>
      <c r="G475" s="5"/>
    </row>
    <row r="476" customFormat="false" ht="15" hidden="false" customHeight="false" outlineLevel="0" collapsed="false">
      <c r="A476" s="19"/>
      <c r="B476" s="5"/>
      <c r="C476" s="5"/>
      <c r="D476" s="4"/>
      <c r="E476" s="4"/>
      <c r="F476" s="20" t="str">
        <f aca="false">IF(AND(D476="",E476=""),"",'Start Here'!$B$4+SUM($D$5:D476)+SUM($E$5:E476))</f>
        <v/>
      </c>
      <c r="G476" s="5"/>
    </row>
    <row r="477" customFormat="false" ht="15" hidden="false" customHeight="false" outlineLevel="0" collapsed="false">
      <c r="A477" s="19"/>
      <c r="B477" s="5"/>
      <c r="C477" s="5"/>
      <c r="D477" s="4"/>
      <c r="E477" s="4"/>
      <c r="F477" s="20" t="str">
        <f aca="false">IF(AND(D477="",E477=""),"",'Start Here'!$B$4+SUM($D$5:D477)+SUM($E$5:E477))</f>
        <v/>
      </c>
      <c r="G477" s="5"/>
    </row>
    <row r="478" customFormat="false" ht="15" hidden="false" customHeight="false" outlineLevel="0" collapsed="false">
      <c r="A478" s="19"/>
      <c r="B478" s="5"/>
      <c r="C478" s="5"/>
      <c r="D478" s="4"/>
      <c r="E478" s="4"/>
      <c r="F478" s="20" t="str">
        <f aca="false">IF(AND(D478="",E478=""),"",'Start Here'!$B$4+SUM($D$5:D478)+SUM($E$5:E478))</f>
        <v/>
      </c>
      <c r="G478" s="5"/>
    </row>
    <row r="479" customFormat="false" ht="15" hidden="false" customHeight="false" outlineLevel="0" collapsed="false">
      <c r="A479" s="19"/>
      <c r="B479" s="5"/>
      <c r="C479" s="5"/>
      <c r="D479" s="4"/>
      <c r="E479" s="4"/>
      <c r="F479" s="20" t="str">
        <f aca="false">IF(AND(D479="",E479=""),"",'Start Here'!$B$4+SUM($D$5:D479)+SUM($E$5:E479))</f>
        <v/>
      </c>
      <c r="G479" s="5"/>
    </row>
    <row r="480" customFormat="false" ht="15" hidden="false" customHeight="false" outlineLevel="0" collapsed="false">
      <c r="A480" s="19"/>
      <c r="B480" s="5"/>
      <c r="C480" s="5"/>
      <c r="D480" s="4"/>
      <c r="E480" s="4"/>
      <c r="F480" s="20" t="str">
        <f aca="false">IF(AND(D480="",E480=""),"",'Start Here'!$B$4+SUM($D$5:D480)+SUM($E$5:E480))</f>
        <v/>
      </c>
      <c r="G480" s="5"/>
    </row>
    <row r="481" customFormat="false" ht="15" hidden="false" customHeight="false" outlineLevel="0" collapsed="false">
      <c r="A481" s="19"/>
      <c r="B481" s="5"/>
      <c r="C481" s="5"/>
      <c r="D481" s="4"/>
      <c r="E481" s="4"/>
      <c r="F481" s="20" t="str">
        <f aca="false">IF(AND(D481="",E481=""),"",'Start Here'!$B$4+SUM($D$5:D481)+SUM($E$5:E481))</f>
        <v/>
      </c>
      <c r="G481" s="5"/>
    </row>
    <row r="482" customFormat="false" ht="15" hidden="false" customHeight="false" outlineLevel="0" collapsed="false">
      <c r="A482" s="19"/>
      <c r="B482" s="5"/>
      <c r="C482" s="5"/>
      <c r="D482" s="4"/>
      <c r="E482" s="4"/>
      <c r="F482" s="20" t="str">
        <f aca="false">IF(AND(D482="",E482=""),"",'Start Here'!$B$4+SUM($D$5:D482)+SUM($E$5:E482))</f>
        <v/>
      </c>
      <c r="G482" s="5"/>
    </row>
    <row r="483" customFormat="false" ht="15" hidden="false" customHeight="false" outlineLevel="0" collapsed="false">
      <c r="A483" s="19"/>
      <c r="B483" s="5"/>
      <c r="C483" s="5"/>
      <c r="D483" s="4"/>
      <c r="E483" s="4"/>
      <c r="F483" s="20" t="str">
        <f aca="false">IF(AND(D483="",E483=""),"",'Start Here'!$B$4+SUM($D$5:D483)+SUM($E$5:E483))</f>
        <v/>
      </c>
      <c r="G483" s="5"/>
    </row>
    <row r="484" customFormat="false" ht="15" hidden="false" customHeight="false" outlineLevel="0" collapsed="false">
      <c r="A484" s="19"/>
      <c r="B484" s="5"/>
      <c r="C484" s="5"/>
      <c r="D484" s="4"/>
      <c r="E484" s="4"/>
      <c r="F484" s="20" t="str">
        <f aca="false">IF(AND(D484="",E484=""),"",'Start Here'!$B$4+SUM($D$5:D484)+SUM($E$5:E484))</f>
        <v/>
      </c>
      <c r="G484" s="5"/>
    </row>
    <row r="485" customFormat="false" ht="15" hidden="false" customHeight="false" outlineLevel="0" collapsed="false">
      <c r="A485" s="19"/>
      <c r="B485" s="5"/>
      <c r="C485" s="5"/>
      <c r="D485" s="4"/>
      <c r="E485" s="4"/>
      <c r="F485" s="20" t="str">
        <f aca="false">IF(AND(D485="",E485=""),"",'Start Here'!$B$4+SUM($D$5:D485)+SUM($E$5:E485))</f>
        <v/>
      </c>
      <c r="G485" s="5"/>
    </row>
    <row r="486" customFormat="false" ht="15" hidden="false" customHeight="false" outlineLevel="0" collapsed="false">
      <c r="A486" s="19"/>
      <c r="B486" s="5"/>
      <c r="C486" s="5"/>
      <c r="D486" s="4"/>
      <c r="E486" s="4"/>
      <c r="F486" s="20" t="str">
        <f aca="false">IF(AND(D486="",E486=""),"",'Start Here'!$B$4+SUM($D$5:D486)+SUM($E$5:E486))</f>
        <v/>
      </c>
      <c r="G486" s="5"/>
    </row>
    <row r="487" customFormat="false" ht="15" hidden="false" customHeight="false" outlineLevel="0" collapsed="false">
      <c r="A487" s="19"/>
      <c r="B487" s="5"/>
      <c r="C487" s="5"/>
      <c r="D487" s="4"/>
      <c r="E487" s="4"/>
      <c r="F487" s="20" t="str">
        <f aca="false">IF(AND(D487="",E487=""),"",'Start Here'!$B$4+SUM($D$5:D487)+SUM($E$5:E487))</f>
        <v/>
      </c>
      <c r="G487" s="5"/>
    </row>
    <row r="488" customFormat="false" ht="15" hidden="false" customHeight="false" outlineLevel="0" collapsed="false">
      <c r="A488" s="19"/>
      <c r="B488" s="5"/>
      <c r="C488" s="5"/>
      <c r="D488" s="4"/>
      <c r="E488" s="4"/>
      <c r="F488" s="20" t="str">
        <f aca="false">IF(AND(D488="",E488=""),"",'Start Here'!$B$4+SUM($D$5:D488)+SUM($E$5:E488))</f>
        <v/>
      </c>
      <c r="G488" s="5"/>
    </row>
    <row r="489" customFormat="false" ht="15" hidden="false" customHeight="false" outlineLevel="0" collapsed="false">
      <c r="A489" s="19"/>
      <c r="B489" s="5"/>
      <c r="C489" s="5"/>
      <c r="D489" s="4"/>
      <c r="E489" s="4"/>
      <c r="F489" s="20" t="str">
        <f aca="false">IF(AND(D489="",E489=""),"",'Start Here'!$B$4+SUM($D$5:D489)+SUM($E$5:E489))</f>
        <v/>
      </c>
      <c r="G489" s="5"/>
    </row>
    <row r="490" customFormat="false" ht="15" hidden="false" customHeight="false" outlineLevel="0" collapsed="false">
      <c r="A490" s="19"/>
      <c r="B490" s="5"/>
      <c r="C490" s="5"/>
      <c r="D490" s="4"/>
      <c r="E490" s="4"/>
      <c r="F490" s="20" t="str">
        <f aca="false">IF(AND(D490="",E490=""),"",'Start Here'!$B$4+SUM($D$5:D490)+SUM($E$5:E490))</f>
        <v/>
      </c>
      <c r="G490" s="5"/>
    </row>
    <row r="491" customFormat="false" ht="15" hidden="false" customHeight="false" outlineLevel="0" collapsed="false">
      <c r="A491" s="19"/>
      <c r="B491" s="5"/>
      <c r="C491" s="5"/>
      <c r="D491" s="4"/>
      <c r="E491" s="4"/>
      <c r="F491" s="20" t="str">
        <f aca="false">IF(AND(D491="",E491=""),"",'Start Here'!$B$4+SUM($D$5:D491)+SUM($E$5:E491))</f>
        <v/>
      </c>
      <c r="G491" s="5"/>
    </row>
    <row r="492" customFormat="false" ht="15" hidden="false" customHeight="false" outlineLevel="0" collapsed="false">
      <c r="A492" s="19"/>
      <c r="B492" s="5"/>
      <c r="C492" s="5"/>
      <c r="D492" s="4"/>
      <c r="E492" s="4"/>
      <c r="F492" s="20" t="str">
        <f aca="false">IF(AND(D492="",E492=""),"",'Start Here'!$B$4+SUM($D$5:D492)+SUM($E$5:E492))</f>
        <v/>
      </c>
      <c r="G492" s="5"/>
    </row>
    <row r="493" customFormat="false" ht="15" hidden="false" customHeight="false" outlineLevel="0" collapsed="false">
      <c r="A493" s="19"/>
      <c r="B493" s="5"/>
      <c r="C493" s="5"/>
      <c r="D493" s="4"/>
      <c r="E493" s="4"/>
      <c r="F493" s="20" t="str">
        <f aca="false">IF(AND(D493="",E493=""),"",'Start Here'!$B$4+SUM($D$5:D493)+SUM($E$5:E493))</f>
        <v/>
      </c>
      <c r="G493" s="5"/>
    </row>
    <row r="494" customFormat="false" ht="15" hidden="false" customHeight="false" outlineLevel="0" collapsed="false">
      <c r="A494" s="19"/>
      <c r="B494" s="5"/>
      <c r="C494" s="5"/>
      <c r="D494" s="4"/>
      <c r="E494" s="4"/>
      <c r="F494" s="20" t="str">
        <f aca="false">IF(AND(D494="",E494=""),"",'Start Here'!$B$4+SUM($D$5:D494)+SUM($E$5:E494))</f>
        <v/>
      </c>
      <c r="G494" s="5"/>
    </row>
    <row r="495" customFormat="false" ht="15" hidden="false" customHeight="false" outlineLevel="0" collapsed="false">
      <c r="A495" s="19"/>
      <c r="B495" s="5"/>
      <c r="C495" s="5"/>
      <c r="D495" s="4"/>
      <c r="E495" s="4"/>
      <c r="F495" s="20" t="str">
        <f aca="false">IF(AND(D495="",E495=""),"",'Start Here'!$B$4+SUM($D$5:D495)+SUM($E$5:E495))</f>
        <v/>
      </c>
      <c r="G495" s="5"/>
    </row>
    <row r="496" customFormat="false" ht="15" hidden="false" customHeight="false" outlineLevel="0" collapsed="false">
      <c r="A496" s="19"/>
      <c r="B496" s="5"/>
      <c r="C496" s="5"/>
      <c r="D496" s="4"/>
      <c r="E496" s="4"/>
      <c r="F496" s="20" t="str">
        <f aca="false">IF(AND(D496="",E496=""),"",'Start Here'!$B$4+SUM($D$5:D496)+SUM($E$5:E496))</f>
        <v/>
      </c>
      <c r="G496" s="5"/>
    </row>
    <row r="497" customFormat="false" ht="15" hidden="false" customHeight="false" outlineLevel="0" collapsed="false">
      <c r="A497" s="19"/>
      <c r="B497" s="5"/>
      <c r="C497" s="5"/>
      <c r="D497" s="4"/>
      <c r="E497" s="4"/>
      <c r="F497" s="20" t="str">
        <f aca="false">IF(AND(D497="",E497=""),"",'Start Here'!$B$4+SUM($D$5:D497)+SUM($E$5:E497))</f>
        <v/>
      </c>
      <c r="G497" s="5"/>
    </row>
    <row r="498" customFormat="false" ht="15" hidden="false" customHeight="false" outlineLevel="0" collapsed="false">
      <c r="A498" s="19"/>
      <c r="B498" s="5"/>
      <c r="C498" s="5"/>
      <c r="D498" s="4"/>
      <c r="E498" s="4"/>
      <c r="F498" s="20" t="str">
        <f aca="false">IF(AND(D498="",E498=""),"",'Start Here'!$B$4+SUM($D$5:D498)+SUM($E$5:E498))</f>
        <v/>
      </c>
      <c r="G498" s="5"/>
    </row>
    <row r="499" customFormat="false" ht="15" hidden="false" customHeight="false" outlineLevel="0" collapsed="false">
      <c r="A499" s="19"/>
      <c r="B499" s="5"/>
      <c r="C499" s="5"/>
      <c r="D499" s="4"/>
      <c r="E499" s="4"/>
      <c r="F499" s="20" t="str">
        <f aca="false">IF(AND(D499="",E499=""),"",'Start Here'!$B$4+SUM($D$5:D499)+SUM($E$5:E499))</f>
        <v/>
      </c>
      <c r="G499" s="5"/>
    </row>
    <row r="500" customFormat="false" ht="15" hidden="false" customHeight="false" outlineLevel="0" collapsed="false">
      <c r="A500" s="19"/>
      <c r="B500" s="5"/>
      <c r="C500" s="5"/>
      <c r="D500" s="4"/>
      <c r="E500" s="4"/>
      <c r="F500" s="20" t="str">
        <f aca="false">IF(AND(D500="",E500=""),"",'Start Here'!$B$4+SUM($D$5:D500)+SUM($E$5:E500))</f>
        <v/>
      </c>
      <c r="G500" s="5"/>
    </row>
    <row r="501" customFormat="false" ht="15" hidden="false" customHeight="false" outlineLevel="0" collapsed="false">
      <c r="A501" s="19"/>
      <c r="B501" s="5"/>
      <c r="C501" s="5"/>
      <c r="D501" s="4"/>
      <c r="E501" s="4"/>
      <c r="F501" s="20" t="str">
        <f aca="false">IF(AND(D501="",E501=""),"",'Start Here'!$B$4+SUM($D$5:D501)+SUM($E$5:E501))</f>
        <v/>
      </c>
      <c r="G501" s="5"/>
    </row>
    <row r="502" customFormat="false" ht="15" hidden="false" customHeight="false" outlineLevel="0" collapsed="false">
      <c r="A502" s="19"/>
      <c r="B502" s="5"/>
      <c r="C502" s="5"/>
      <c r="D502" s="4"/>
      <c r="E502" s="4"/>
      <c r="F502" s="20" t="str">
        <f aca="false">IF(AND(D502="",E502=""),"",'Start Here'!$B$4+SUM($D$5:D502)+SUM($E$5:E502))</f>
        <v/>
      </c>
      <c r="G502" s="5"/>
    </row>
    <row r="503" customFormat="false" ht="15" hidden="false" customHeight="false" outlineLevel="0" collapsed="false">
      <c r="A503" s="19"/>
      <c r="B503" s="5"/>
      <c r="C503" s="5"/>
      <c r="D503" s="4"/>
      <c r="E503" s="4"/>
      <c r="F503" s="20" t="str">
        <f aca="false">IF(AND(D503="",E503=""),"",'Start Here'!$B$4+SUM($D$5:D503)+SUM($E$5:E503))</f>
        <v/>
      </c>
      <c r="G503" s="5"/>
    </row>
    <row r="504" customFormat="false" ht="15" hidden="false" customHeight="false" outlineLevel="0" collapsed="false">
      <c r="A504" s="19"/>
      <c r="B504" s="5"/>
      <c r="C504" s="5"/>
      <c r="D504" s="4"/>
      <c r="E504" s="4"/>
      <c r="F504" s="20" t="str">
        <f aca="false">IF(AND(D504="",E504=""),"",'Start Here'!$B$4+SUM($D$5:D504)+SUM($E$5:E504))</f>
        <v/>
      </c>
      <c r="G504" s="5"/>
    </row>
  </sheetData>
  <conditionalFormatting sqref="F5:F504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Style="stop" operator="between" showDropDown="false" showErrorMessage="false" showInputMessage="false" sqref="C5:C504" type="list">
      <formula1>'Start Here'!$A$17:$A$33</formula1>
      <formula2>0</formula2>
    </dataValidation>
    <dataValidation allowBlank="true" error="Money In must be a positive number" errorStyle="stop" operator="greaterThanOrEqual" showDropDown="false" showErrorMessage="false" showInputMessage="false" sqref="D5:D504" type="decimal">
      <formula1>0</formula1>
      <formula2>0</formula2>
    </dataValidation>
    <dataValidation allowBlank="true" error="Money Out must be a negative number, e.g. -200" errorStyle="stop" operator="lessThanOrEqual" showDropDown="false" showErrorMessage="false" showInputMessage="false" sqref="E5:E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6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30" hidden="false" customHeight="true" outlineLevel="0" collapsed="false">
      <c r="A4" s="18" t="s">
        <v>54</v>
      </c>
      <c r="B4" s="18" t="s">
        <v>55</v>
      </c>
      <c r="C4" s="18" t="s">
        <v>56</v>
      </c>
      <c r="D4" s="18" t="s">
        <v>57</v>
      </c>
      <c r="E4" s="18" t="s">
        <v>58</v>
      </c>
    </row>
    <row r="5" customFormat="false" ht="15" hidden="false" customHeight="false" outlineLevel="0" collapsed="false">
      <c r="A5" s="10" t="s">
        <v>39</v>
      </c>
      <c r="B5" s="17" t="n">
        <f aca="false">SUM(B7:B106)</f>
        <v>1200</v>
      </c>
      <c r="C5" s="17" t="n">
        <f aca="false">SUM(C7:C106)</f>
        <v>500</v>
      </c>
      <c r="D5" s="17" t="n">
        <f aca="false">SUM(D7:D106)</f>
        <v>700</v>
      </c>
      <c r="E5" s="17" t="n">
        <f aca="false">SUM(E7:E106)</f>
        <v>0</v>
      </c>
    </row>
    <row r="6" customFormat="false" ht="15" hidden="false" customHeight="false" outlineLevel="0" collapsed="false">
      <c r="A6" s="2" t="s">
        <v>59</v>
      </c>
    </row>
    <row r="7" customFormat="false" ht="15" hidden="false" customHeight="false" outlineLevel="0" collapsed="false">
      <c r="A7" s="5" t="s">
        <v>60</v>
      </c>
      <c r="B7" s="16" t="n">
        <f aca="false">IF($A7="","",SUMIFS(Invoices!$E$5:$E$504,Invoices!$C$5:$C$504,$A7))</f>
        <v>1200</v>
      </c>
      <c r="C7" s="16" t="n">
        <f aca="false">IF($A7="","",SUMIFS(Invoices!$G$5:$G$504,Invoices!$C$5:$C$504,$A7))</f>
        <v>500</v>
      </c>
      <c r="D7" s="16" t="n">
        <f aca="false">IF($A7="","",B7-C7)</f>
        <v>700</v>
      </c>
      <c r="E7" s="16" t="n">
        <f aca="true">IF($A7="","",SUMIFS(Invoices!$H$5:$H$504,Invoices!$C$5:$C$504,$A7,Invoices!$F$5:$F$504,"&lt;"&amp;TODAY()))</f>
        <v>0</v>
      </c>
    </row>
    <row r="8" customFormat="false" ht="15" hidden="false" customHeight="false" outlineLevel="0" collapsed="false">
      <c r="A8" s="5"/>
      <c r="B8" s="16" t="str">
        <f aca="false">IF($A8="","",SUMIFS(Invoices!$E$5:$E$504,Invoices!$C$5:$C$504,$A8))</f>
        <v/>
      </c>
      <c r="C8" s="16" t="str">
        <f aca="false">IF($A8="","",SUMIFS(Invoices!$G$5:$G$504,Invoices!$C$5:$C$504,$A8))</f>
        <v/>
      </c>
      <c r="D8" s="16" t="str">
        <f aca="false">IF($A8="","",B8-C8)</f>
        <v/>
      </c>
      <c r="E8" s="16" t="str">
        <f aca="true">IF($A8="","",SUMIFS(Invoices!$H$5:$H$504,Invoices!$C$5:$C$504,$A8,Invoices!$F$5:$F$504,"&lt;"&amp;TODAY()))</f>
        <v/>
      </c>
    </row>
    <row r="9" customFormat="false" ht="15" hidden="false" customHeight="false" outlineLevel="0" collapsed="false">
      <c r="A9" s="5"/>
      <c r="B9" s="16" t="str">
        <f aca="false">IF($A9="","",SUMIFS(Invoices!$E$5:$E$504,Invoices!$C$5:$C$504,$A9))</f>
        <v/>
      </c>
      <c r="C9" s="16" t="str">
        <f aca="false">IF($A9="","",SUMIFS(Invoices!$G$5:$G$504,Invoices!$C$5:$C$504,$A9))</f>
        <v/>
      </c>
      <c r="D9" s="16" t="str">
        <f aca="false">IF($A9="","",B9-C9)</f>
        <v/>
      </c>
      <c r="E9" s="16" t="str">
        <f aca="true">IF($A9="","",SUMIFS(Invoices!$H$5:$H$504,Invoices!$C$5:$C$504,$A9,Invoices!$F$5:$F$504,"&lt;"&amp;TODAY()))</f>
        <v/>
      </c>
    </row>
    <row r="10" customFormat="false" ht="15" hidden="false" customHeight="false" outlineLevel="0" collapsed="false">
      <c r="A10" s="5"/>
      <c r="B10" s="16" t="str">
        <f aca="false">IF($A10="","",SUMIFS(Invoices!$E$5:$E$504,Invoices!$C$5:$C$504,$A10))</f>
        <v/>
      </c>
      <c r="C10" s="16" t="str">
        <f aca="false">IF($A10="","",SUMIFS(Invoices!$G$5:$G$504,Invoices!$C$5:$C$504,$A10))</f>
        <v/>
      </c>
      <c r="D10" s="16" t="str">
        <f aca="false">IF($A10="","",B10-C10)</f>
        <v/>
      </c>
      <c r="E10" s="16" t="str">
        <f aca="true">IF($A10="","",SUMIFS(Invoices!$H$5:$H$504,Invoices!$C$5:$C$504,$A10,Invoices!$F$5:$F$504,"&lt;"&amp;TODAY()))</f>
        <v/>
      </c>
    </row>
    <row r="11" customFormat="false" ht="15" hidden="false" customHeight="false" outlineLevel="0" collapsed="false">
      <c r="A11" s="5"/>
      <c r="B11" s="16" t="str">
        <f aca="false">IF($A11="","",SUMIFS(Invoices!$E$5:$E$504,Invoices!$C$5:$C$504,$A11))</f>
        <v/>
      </c>
      <c r="C11" s="16" t="str">
        <f aca="false">IF($A11="","",SUMIFS(Invoices!$G$5:$G$504,Invoices!$C$5:$C$504,$A11))</f>
        <v/>
      </c>
      <c r="D11" s="16" t="str">
        <f aca="false">IF($A11="","",B11-C11)</f>
        <v/>
      </c>
      <c r="E11" s="16" t="str">
        <f aca="true">IF($A11="","",SUMIFS(Invoices!$H$5:$H$504,Invoices!$C$5:$C$504,$A11,Invoices!$F$5:$F$504,"&lt;"&amp;TODAY()))</f>
        <v/>
      </c>
    </row>
    <row r="12" customFormat="false" ht="15" hidden="false" customHeight="false" outlineLevel="0" collapsed="false">
      <c r="A12" s="5"/>
      <c r="B12" s="16" t="str">
        <f aca="false">IF($A12="","",SUMIFS(Invoices!$E$5:$E$504,Invoices!$C$5:$C$504,$A12))</f>
        <v/>
      </c>
      <c r="C12" s="16" t="str">
        <f aca="false">IF($A12="","",SUMIFS(Invoices!$G$5:$G$504,Invoices!$C$5:$C$504,$A12))</f>
        <v/>
      </c>
      <c r="D12" s="16" t="str">
        <f aca="false">IF($A12="","",B12-C12)</f>
        <v/>
      </c>
      <c r="E12" s="16" t="str">
        <f aca="true">IF($A12="","",SUMIFS(Invoices!$H$5:$H$504,Invoices!$C$5:$C$504,$A12,Invoices!$F$5:$F$504,"&lt;"&amp;TODAY()))</f>
        <v/>
      </c>
    </row>
    <row r="13" customFormat="false" ht="15" hidden="false" customHeight="false" outlineLevel="0" collapsed="false">
      <c r="A13" s="5"/>
      <c r="B13" s="16" t="str">
        <f aca="false">IF($A13="","",SUMIFS(Invoices!$E$5:$E$504,Invoices!$C$5:$C$504,$A13))</f>
        <v/>
      </c>
      <c r="C13" s="16" t="str">
        <f aca="false">IF($A13="","",SUMIFS(Invoices!$G$5:$G$504,Invoices!$C$5:$C$504,$A13))</f>
        <v/>
      </c>
      <c r="D13" s="16" t="str">
        <f aca="false">IF($A13="","",B13-C13)</f>
        <v/>
      </c>
      <c r="E13" s="16" t="str">
        <f aca="true">IF($A13="","",SUMIFS(Invoices!$H$5:$H$504,Invoices!$C$5:$C$504,$A13,Invoices!$F$5:$F$504,"&lt;"&amp;TODAY()))</f>
        <v/>
      </c>
    </row>
    <row r="14" customFormat="false" ht="15" hidden="false" customHeight="false" outlineLevel="0" collapsed="false">
      <c r="A14" s="5"/>
      <c r="B14" s="16" t="str">
        <f aca="false">IF($A14="","",SUMIFS(Invoices!$E$5:$E$504,Invoices!$C$5:$C$504,$A14))</f>
        <v/>
      </c>
      <c r="C14" s="16" t="str">
        <f aca="false">IF($A14="","",SUMIFS(Invoices!$G$5:$G$504,Invoices!$C$5:$C$504,$A14))</f>
        <v/>
      </c>
      <c r="D14" s="16" t="str">
        <f aca="false">IF($A14="","",B14-C14)</f>
        <v/>
      </c>
      <c r="E14" s="16" t="str">
        <f aca="true">IF($A14="","",SUMIFS(Invoices!$H$5:$H$504,Invoices!$C$5:$C$504,$A14,Invoices!$F$5:$F$504,"&lt;"&amp;TODAY()))</f>
        <v/>
      </c>
    </row>
    <row r="15" customFormat="false" ht="15" hidden="false" customHeight="false" outlineLevel="0" collapsed="false">
      <c r="A15" s="5"/>
      <c r="B15" s="16" t="str">
        <f aca="false">IF($A15="","",SUMIFS(Invoices!$E$5:$E$504,Invoices!$C$5:$C$504,$A15))</f>
        <v/>
      </c>
      <c r="C15" s="16" t="str">
        <f aca="false">IF($A15="","",SUMIFS(Invoices!$G$5:$G$504,Invoices!$C$5:$C$504,$A15))</f>
        <v/>
      </c>
      <c r="D15" s="16" t="str">
        <f aca="false">IF($A15="","",B15-C15)</f>
        <v/>
      </c>
      <c r="E15" s="16" t="str">
        <f aca="true">IF($A15="","",SUMIFS(Invoices!$H$5:$H$504,Invoices!$C$5:$C$504,$A15,Invoices!$F$5:$F$504,"&lt;"&amp;TODAY()))</f>
        <v/>
      </c>
    </row>
    <row r="16" customFormat="false" ht="15" hidden="false" customHeight="false" outlineLevel="0" collapsed="false">
      <c r="A16" s="5"/>
      <c r="B16" s="16" t="str">
        <f aca="false">IF($A16="","",SUMIFS(Invoices!$E$5:$E$504,Invoices!$C$5:$C$504,$A16))</f>
        <v/>
      </c>
      <c r="C16" s="16" t="str">
        <f aca="false">IF($A16="","",SUMIFS(Invoices!$G$5:$G$504,Invoices!$C$5:$C$504,$A16))</f>
        <v/>
      </c>
      <c r="D16" s="16" t="str">
        <f aca="false">IF($A16="","",B16-C16)</f>
        <v/>
      </c>
      <c r="E16" s="16" t="str">
        <f aca="true">IF($A16="","",SUMIFS(Invoices!$H$5:$H$504,Invoices!$C$5:$C$504,$A16,Invoices!$F$5:$F$504,"&lt;"&amp;TODAY()))</f>
        <v/>
      </c>
    </row>
    <row r="17" customFormat="false" ht="15" hidden="false" customHeight="false" outlineLevel="0" collapsed="false">
      <c r="A17" s="5"/>
      <c r="B17" s="16" t="str">
        <f aca="false">IF($A17="","",SUMIFS(Invoices!$E$5:$E$504,Invoices!$C$5:$C$504,$A17))</f>
        <v/>
      </c>
      <c r="C17" s="16" t="str">
        <f aca="false">IF($A17="","",SUMIFS(Invoices!$G$5:$G$504,Invoices!$C$5:$C$504,$A17))</f>
        <v/>
      </c>
      <c r="D17" s="16" t="str">
        <f aca="false">IF($A17="","",B17-C17)</f>
        <v/>
      </c>
      <c r="E17" s="16" t="str">
        <f aca="true">IF($A17="","",SUMIFS(Invoices!$H$5:$H$504,Invoices!$C$5:$C$504,$A17,Invoices!$F$5:$F$504,"&lt;"&amp;TODAY()))</f>
        <v/>
      </c>
    </row>
    <row r="18" customFormat="false" ht="15" hidden="false" customHeight="false" outlineLevel="0" collapsed="false">
      <c r="A18" s="5"/>
      <c r="B18" s="16" t="str">
        <f aca="false">IF($A18="","",SUMIFS(Invoices!$E$5:$E$504,Invoices!$C$5:$C$504,$A18))</f>
        <v/>
      </c>
      <c r="C18" s="16" t="str">
        <f aca="false">IF($A18="","",SUMIFS(Invoices!$G$5:$G$504,Invoices!$C$5:$C$504,$A18))</f>
        <v/>
      </c>
      <c r="D18" s="16" t="str">
        <f aca="false">IF($A18="","",B18-C18)</f>
        <v/>
      </c>
      <c r="E18" s="16" t="str">
        <f aca="true">IF($A18="","",SUMIFS(Invoices!$H$5:$H$504,Invoices!$C$5:$C$504,$A18,Invoices!$F$5:$F$504,"&lt;"&amp;TODAY()))</f>
        <v/>
      </c>
    </row>
    <row r="19" customFormat="false" ht="15" hidden="false" customHeight="false" outlineLevel="0" collapsed="false">
      <c r="A19" s="5"/>
      <c r="B19" s="16" t="str">
        <f aca="false">IF($A19="","",SUMIFS(Invoices!$E$5:$E$504,Invoices!$C$5:$C$504,$A19))</f>
        <v/>
      </c>
      <c r="C19" s="16" t="str">
        <f aca="false">IF($A19="","",SUMIFS(Invoices!$G$5:$G$504,Invoices!$C$5:$C$504,$A19))</f>
        <v/>
      </c>
      <c r="D19" s="16" t="str">
        <f aca="false">IF($A19="","",B19-C19)</f>
        <v/>
      </c>
      <c r="E19" s="16" t="str">
        <f aca="true">IF($A19="","",SUMIFS(Invoices!$H$5:$H$504,Invoices!$C$5:$C$504,$A19,Invoices!$F$5:$F$504,"&lt;"&amp;TODAY()))</f>
        <v/>
      </c>
    </row>
    <row r="20" customFormat="false" ht="15" hidden="false" customHeight="false" outlineLevel="0" collapsed="false">
      <c r="A20" s="5"/>
      <c r="B20" s="16" t="str">
        <f aca="false">IF($A20="","",SUMIFS(Invoices!$E$5:$E$504,Invoices!$C$5:$C$504,$A20))</f>
        <v/>
      </c>
      <c r="C20" s="16" t="str">
        <f aca="false">IF($A20="","",SUMIFS(Invoices!$G$5:$G$504,Invoices!$C$5:$C$504,$A20))</f>
        <v/>
      </c>
      <c r="D20" s="16" t="str">
        <f aca="false">IF($A20="","",B20-C20)</f>
        <v/>
      </c>
      <c r="E20" s="16" t="str">
        <f aca="true">IF($A20="","",SUMIFS(Invoices!$H$5:$H$504,Invoices!$C$5:$C$504,$A20,Invoices!$F$5:$F$504,"&lt;"&amp;TODAY()))</f>
        <v/>
      </c>
    </row>
    <row r="21" customFormat="false" ht="15" hidden="false" customHeight="false" outlineLevel="0" collapsed="false">
      <c r="A21" s="5"/>
      <c r="B21" s="16" t="str">
        <f aca="false">IF($A21="","",SUMIFS(Invoices!$E$5:$E$504,Invoices!$C$5:$C$504,$A21))</f>
        <v/>
      </c>
      <c r="C21" s="16" t="str">
        <f aca="false">IF($A21="","",SUMIFS(Invoices!$G$5:$G$504,Invoices!$C$5:$C$504,$A21))</f>
        <v/>
      </c>
      <c r="D21" s="16" t="str">
        <f aca="false">IF($A21="","",B21-C21)</f>
        <v/>
      </c>
      <c r="E21" s="16" t="str">
        <f aca="true">IF($A21="","",SUMIFS(Invoices!$H$5:$H$504,Invoices!$C$5:$C$504,$A21,Invoices!$F$5:$F$504,"&lt;"&amp;TODAY()))</f>
        <v/>
      </c>
    </row>
    <row r="22" customFormat="false" ht="15" hidden="false" customHeight="false" outlineLevel="0" collapsed="false">
      <c r="A22" s="5"/>
      <c r="B22" s="16" t="str">
        <f aca="false">IF($A22="","",SUMIFS(Invoices!$E$5:$E$504,Invoices!$C$5:$C$504,$A22))</f>
        <v/>
      </c>
      <c r="C22" s="16" t="str">
        <f aca="false">IF($A22="","",SUMIFS(Invoices!$G$5:$G$504,Invoices!$C$5:$C$504,$A22))</f>
        <v/>
      </c>
      <c r="D22" s="16" t="str">
        <f aca="false">IF($A22="","",B22-C22)</f>
        <v/>
      </c>
      <c r="E22" s="16" t="str">
        <f aca="true">IF($A22="","",SUMIFS(Invoices!$H$5:$H$504,Invoices!$C$5:$C$504,$A22,Invoices!$F$5:$F$504,"&lt;"&amp;TODAY()))</f>
        <v/>
      </c>
    </row>
    <row r="23" customFormat="false" ht="15" hidden="false" customHeight="false" outlineLevel="0" collapsed="false">
      <c r="A23" s="5"/>
      <c r="B23" s="16" t="str">
        <f aca="false">IF($A23="","",SUMIFS(Invoices!$E$5:$E$504,Invoices!$C$5:$C$504,$A23))</f>
        <v/>
      </c>
      <c r="C23" s="16" t="str">
        <f aca="false">IF($A23="","",SUMIFS(Invoices!$G$5:$G$504,Invoices!$C$5:$C$504,$A23))</f>
        <v/>
      </c>
      <c r="D23" s="16" t="str">
        <f aca="false">IF($A23="","",B23-C23)</f>
        <v/>
      </c>
      <c r="E23" s="16" t="str">
        <f aca="true">IF($A23="","",SUMIFS(Invoices!$H$5:$H$504,Invoices!$C$5:$C$504,$A23,Invoices!$F$5:$F$504,"&lt;"&amp;TODAY()))</f>
        <v/>
      </c>
    </row>
    <row r="24" customFormat="false" ht="15" hidden="false" customHeight="false" outlineLevel="0" collapsed="false">
      <c r="A24" s="5"/>
      <c r="B24" s="16" t="str">
        <f aca="false">IF($A24="","",SUMIFS(Invoices!$E$5:$E$504,Invoices!$C$5:$C$504,$A24))</f>
        <v/>
      </c>
      <c r="C24" s="16" t="str">
        <f aca="false">IF($A24="","",SUMIFS(Invoices!$G$5:$G$504,Invoices!$C$5:$C$504,$A24))</f>
        <v/>
      </c>
      <c r="D24" s="16" t="str">
        <f aca="false">IF($A24="","",B24-C24)</f>
        <v/>
      </c>
      <c r="E24" s="16" t="str">
        <f aca="true">IF($A24="","",SUMIFS(Invoices!$H$5:$H$504,Invoices!$C$5:$C$504,$A24,Invoices!$F$5:$F$504,"&lt;"&amp;TODAY()))</f>
        <v/>
      </c>
    </row>
    <row r="25" customFormat="false" ht="15" hidden="false" customHeight="false" outlineLevel="0" collapsed="false">
      <c r="A25" s="5"/>
      <c r="B25" s="16" t="str">
        <f aca="false">IF($A25="","",SUMIFS(Invoices!$E$5:$E$504,Invoices!$C$5:$C$504,$A25))</f>
        <v/>
      </c>
      <c r="C25" s="16" t="str">
        <f aca="false">IF($A25="","",SUMIFS(Invoices!$G$5:$G$504,Invoices!$C$5:$C$504,$A25))</f>
        <v/>
      </c>
      <c r="D25" s="16" t="str">
        <f aca="false">IF($A25="","",B25-C25)</f>
        <v/>
      </c>
      <c r="E25" s="16" t="str">
        <f aca="true">IF($A25="","",SUMIFS(Invoices!$H$5:$H$504,Invoices!$C$5:$C$504,$A25,Invoices!$F$5:$F$504,"&lt;"&amp;TODAY()))</f>
        <v/>
      </c>
    </row>
    <row r="26" customFormat="false" ht="15" hidden="false" customHeight="false" outlineLevel="0" collapsed="false">
      <c r="A26" s="5"/>
      <c r="B26" s="16" t="str">
        <f aca="false">IF($A26="","",SUMIFS(Invoices!$E$5:$E$504,Invoices!$C$5:$C$504,$A26))</f>
        <v/>
      </c>
      <c r="C26" s="16" t="str">
        <f aca="false">IF($A26="","",SUMIFS(Invoices!$G$5:$G$504,Invoices!$C$5:$C$504,$A26))</f>
        <v/>
      </c>
      <c r="D26" s="16" t="str">
        <f aca="false">IF($A26="","",B26-C26)</f>
        <v/>
      </c>
      <c r="E26" s="16" t="str">
        <f aca="true">IF($A26="","",SUMIFS(Invoices!$H$5:$H$504,Invoices!$C$5:$C$504,$A26,Invoices!$F$5:$F$504,"&lt;"&amp;TODAY()))</f>
        <v/>
      </c>
    </row>
    <row r="27" customFormat="false" ht="15" hidden="false" customHeight="false" outlineLevel="0" collapsed="false">
      <c r="A27" s="5"/>
      <c r="B27" s="16" t="str">
        <f aca="false">IF($A27="","",SUMIFS(Invoices!$E$5:$E$504,Invoices!$C$5:$C$504,$A27))</f>
        <v/>
      </c>
      <c r="C27" s="16" t="str">
        <f aca="false">IF($A27="","",SUMIFS(Invoices!$G$5:$G$504,Invoices!$C$5:$C$504,$A27))</f>
        <v/>
      </c>
      <c r="D27" s="16" t="str">
        <f aca="false">IF($A27="","",B27-C27)</f>
        <v/>
      </c>
      <c r="E27" s="16" t="str">
        <f aca="true">IF($A27="","",SUMIFS(Invoices!$H$5:$H$504,Invoices!$C$5:$C$504,$A27,Invoices!$F$5:$F$504,"&lt;"&amp;TODAY()))</f>
        <v/>
      </c>
    </row>
    <row r="28" customFormat="false" ht="15" hidden="false" customHeight="false" outlineLevel="0" collapsed="false">
      <c r="A28" s="5"/>
      <c r="B28" s="16" t="str">
        <f aca="false">IF($A28="","",SUMIFS(Invoices!$E$5:$E$504,Invoices!$C$5:$C$504,$A28))</f>
        <v/>
      </c>
      <c r="C28" s="16" t="str">
        <f aca="false">IF($A28="","",SUMIFS(Invoices!$G$5:$G$504,Invoices!$C$5:$C$504,$A28))</f>
        <v/>
      </c>
      <c r="D28" s="16" t="str">
        <f aca="false">IF($A28="","",B28-C28)</f>
        <v/>
      </c>
      <c r="E28" s="16" t="str">
        <f aca="true">IF($A28="","",SUMIFS(Invoices!$H$5:$H$504,Invoices!$C$5:$C$504,$A28,Invoices!$F$5:$F$504,"&lt;"&amp;TODAY()))</f>
        <v/>
      </c>
    </row>
    <row r="29" customFormat="false" ht="15" hidden="false" customHeight="false" outlineLevel="0" collapsed="false">
      <c r="A29" s="5"/>
      <c r="B29" s="16" t="str">
        <f aca="false">IF($A29="","",SUMIFS(Invoices!$E$5:$E$504,Invoices!$C$5:$C$504,$A29))</f>
        <v/>
      </c>
      <c r="C29" s="16" t="str">
        <f aca="false">IF($A29="","",SUMIFS(Invoices!$G$5:$G$504,Invoices!$C$5:$C$504,$A29))</f>
        <v/>
      </c>
      <c r="D29" s="16" t="str">
        <f aca="false">IF($A29="","",B29-C29)</f>
        <v/>
      </c>
      <c r="E29" s="16" t="str">
        <f aca="true">IF($A29="","",SUMIFS(Invoices!$H$5:$H$504,Invoices!$C$5:$C$504,$A29,Invoices!$F$5:$F$504,"&lt;"&amp;TODAY()))</f>
        <v/>
      </c>
    </row>
    <row r="30" customFormat="false" ht="15" hidden="false" customHeight="false" outlineLevel="0" collapsed="false">
      <c r="A30" s="5"/>
      <c r="B30" s="16" t="str">
        <f aca="false">IF($A30="","",SUMIFS(Invoices!$E$5:$E$504,Invoices!$C$5:$C$504,$A30))</f>
        <v/>
      </c>
      <c r="C30" s="16" t="str">
        <f aca="false">IF($A30="","",SUMIFS(Invoices!$G$5:$G$504,Invoices!$C$5:$C$504,$A30))</f>
        <v/>
      </c>
      <c r="D30" s="16" t="str">
        <f aca="false">IF($A30="","",B30-C30)</f>
        <v/>
      </c>
      <c r="E30" s="16" t="str">
        <f aca="true">IF($A30="","",SUMIFS(Invoices!$H$5:$H$504,Invoices!$C$5:$C$504,$A30,Invoices!$F$5:$F$504,"&lt;"&amp;TODAY()))</f>
        <v/>
      </c>
    </row>
    <row r="31" customFormat="false" ht="15" hidden="false" customHeight="false" outlineLevel="0" collapsed="false">
      <c r="A31" s="5"/>
      <c r="B31" s="16" t="str">
        <f aca="false">IF($A31="","",SUMIFS(Invoices!$E$5:$E$504,Invoices!$C$5:$C$504,$A31))</f>
        <v/>
      </c>
      <c r="C31" s="16" t="str">
        <f aca="false">IF($A31="","",SUMIFS(Invoices!$G$5:$G$504,Invoices!$C$5:$C$504,$A31))</f>
        <v/>
      </c>
      <c r="D31" s="16" t="str">
        <f aca="false">IF($A31="","",B31-C31)</f>
        <v/>
      </c>
      <c r="E31" s="16" t="str">
        <f aca="true">IF($A31="","",SUMIFS(Invoices!$H$5:$H$504,Invoices!$C$5:$C$504,$A31,Invoices!$F$5:$F$504,"&lt;"&amp;TODAY()))</f>
        <v/>
      </c>
    </row>
    <row r="32" customFormat="false" ht="15" hidden="false" customHeight="false" outlineLevel="0" collapsed="false">
      <c r="A32" s="5"/>
      <c r="B32" s="16" t="str">
        <f aca="false">IF($A32="","",SUMIFS(Invoices!$E$5:$E$504,Invoices!$C$5:$C$504,$A32))</f>
        <v/>
      </c>
      <c r="C32" s="16" t="str">
        <f aca="false">IF($A32="","",SUMIFS(Invoices!$G$5:$G$504,Invoices!$C$5:$C$504,$A32))</f>
        <v/>
      </c>
      <c r="D32" s="16" t="str">
        <f aca="false">IF($A32="","",B32-C32)</f>
        <v/>
      </c>
      <c r="E32" s="16" t="str">
        <f aca="true">IF($A32="","",SUMIFS(Invoices!$H$5:$H$504,Invoices!$C$5:$C$504,$A32,Invoices!$F$5:$F$504,"&lt;"&amp;TODAY()))</f>
        <v/>
      </c>
    </row>
    <row r="33" customFormat="false" ht="15" hidden="false" customHeight="false" outlineLevel="0" collapsed="false">
      <c r="A33" s="5"/>
      <c r="B33" s="16" t="str">
        <f aca="false">IF($A33="","",SUMIFS(Invoices!$E$5:$E$504,Invoices!$C$5:$C$504,$A33))</f>
        <v/>
      </c>
      <c r="C33" s="16" t="str">
        <f aca="false">IF($A33="","",SUMIFS(Invoices!$G$5:$G$504,Invoices!$C$5:$C$504,$A33))</f>
        <v/>
      </c>
      <c r="D33" s="16" t="str">
        <f aca="false">IF($A33="","",B33-C33)</f>
        <v/>
      </c>
      <c r="E33" s="16" t="str">
        <f aca="true">IF($A33="","",SUMIFS(Invoices!$H$5:$H$504,Invoices!$C$5:$C$504,$A33,Invoices!$F$5:$F$504,"&lt;"&amp;TODAY()))</f>
        <v/>
      </c>
    </row>
    <row r="34" customFormat="false" ht="15" hidden="false" customHeight="false" outlineLevel="0" collapsed="false">
      <c r="A34" s="5"/>
      <c r="B34" s="16" t="str">
        <f aca="false">IF($A34="","",SUMIFS(Invoices!$E$5:$E$504,Invoices!$C$5:$C$504,$A34))</f>
        <v/>
      </c>
      <c r="C34" s="16" t="str">
        <f aca="false">IF($A34="","",SUMIFS(Invoices!$G$5:$G$504,Invoices!$C$5:$C$504,$A34))</f>
        <v/>
      </c>
      <c r="D34" s="16" t="str">
        <f aca="false">IF($A34="","",B34-C34)</f>
        <v/>
      </c>
      <c r="E34" s="16" t="str">
        <f aca="true">IF($A34="","",SUMIFS(Invoices!$H$5:$H$504,Invoices!$C$5:$C$504,$A34,Invoices!$F$5:$F$504,"&lt;"&amp;TODAY()))</f>
        <v/>
      </c>
    </row>
    <row r="35" customFormat="false" ht="15" hidden="false" customHeight="false" outlineLevel="0" collapsed="false">
      <c r="A35" s="5"/>
      <c r="B35" s="16" t="str">
        <f aca="false">IF($A35="","",SUMIFS(Invoices!$E$5:$E$504,Invoices!$C$5:$C$504,$A35))</f>
        <v/>
      </c>
      <c r="C35" s="16" t="str">
        <f aca="false">IF($A35="","",SUMIFS(Invoices!$G$5:$G$504,Invoices!$C$5:$C$504,$A35))</f>
        <v/>
      </c>
      <c r="D35" s="16" t="str">
        <f aca="false">IF($A35="","",B35-C35)</f>
        <v/>
      </c>
      <c r="E35" s="16" t="str">
        <f aca="true">IF($A35="","",SUMIFS(Invoices!$H$5:$H$504,Invoices!$C$5:$C$504,$A35,Invoices!$F$5:$F$504,"&lt;"&amp;TODAY()))</f>
        <v/>
      </c>
    </row>
    <row r="36" customFormat="false" ht="15" hidden="false" customHeight="false" outlineLevel="0" collapsed="false">
      <c r="A36" s="5"/>
      <c r="B36" s="16" t="str">
        <f aca="false">IF($A36="","",SUMIFS(Invoices!$E$5:$E$504,Invoices!$C$5:$C$504,$A36))</f>
        <v/>
      </c>
      <c r="C36" s="16" t="str">
        <f aca="false">IF($A36="","",SUMIFS(Invoices!$G$5:$G$504,Invoices!$C$5:$C$504,$A36))</f>
        <v/>
      </c>
      <c r="D36" s="16" t="str">
        <f aca="false">IF($A36="","",B36-C36)</f>
        <v/>
      </c>
      <c r="E36" s="16" t="str">
        <f aca="true">IF($A36="","",SUMIFS(Invoices!$H$5:$H$504,Invoices!$C$5:$C$504,$A36,Invoices!$F$5:$F$504,"&lt;"&amp;TODAY()))</f>
        <v/>
      </c>
    </row>
    <row r="37" customFormat="false" ht="15" hidden="false" customHeight="false" outlineLevel="0" collapsed="false">
      <c r="A37" s="5"/>
      <c r="B37" s="16" t="str">
        <f aca="false">IF($A37="","",SUMIFS(Invoices!$E$5:$E$504,Invoices!$C$5:$C$504,$A37))</f>
        <v/>
      </c>
      <c r="C37" s="16" t="str">
        <f aca="false">IF($A37="","",SUMIFS(Invoices!$G$5:$G$504,Invoices!$C$5:$C$504,$A37))</f>
        <v/>
      </c>
      <c r="D37" s="16" t="str">
        <f aca="false">IF($A37="","",B37-C37)</f>
        <v/>
      </c>
      <c r="E37" s="16" t="str">
        <f aca="true">IF($A37="","",SUMIFS(Invoices!$H$5:$H$504,Invoices!$C$5:$C$504,$A37,Invoices!$F$5:$F$504,"&lt;"&amp;TODAY()))</f>
        <v/>
      </c>
    </row>
    <row r="38" customFormat="false" ht="15" hidden="false" customHeight="false" outlineLevel="0" collapsed="false">
      <c r="A38" s="5"/>
      <c r="B38" s="16" t="str">
        <f aca="false">IF($A38="","",SUMIFS(Invoices!$E$5:$E$504,Invoices!$C$5:$C$504,$A38))</f>
        <v/>
      </c>
      <c r="C38" s="16" t="str">
        <f aca="false">IF($A38="","",SUMIFS(Invoices!$G$5:$G$504,Invoices!$C$5:$C$504,$A38))</f>
        <v/>
      </c>
      <c r="D38" s="16" t="str">
        <f aca="false">IF($A38="","",B38-C38)</f>
        <v/>
      </c>
      <c r="E38" s="16" t="str">
        <f aca="true">IF($A38="","",SUMIFS(Invoices!$H$5:$H$504,Invoices!$C$5:$C$504,$A38,Invoices!$F$5:$F$504,"&lt;"&amp;TODAY()))</f>
        <v/>
      </c>
    </row>
    <row r="39" customFormat="false" ht="15" hidden="false" customHeight="false" outlineLevel="0" collapsed="false">
      <c r="A39" s="5"/>
      <c r="B39" s="16" t="str">
        <f aca="false">IF($A39="","",SUMIFS(Invoices!$E$5:$E$504,Invoices!$C$5:$C$504,$A39))</f>
        <v/>
      </c>
      <c r="C39" s="16" t="str">
        <f aca="false">IF($A39="","",SUMIFS(Invoices!$G$5:$G$504,Invoices!$C$5:$C$504,$A39))</f>
        <v/>
      </c>
      <c r="D39" s="16" t="str">
        <f aca="false">IF($A39="","",B39-C39)</f>
        <v/>
      </c>
      <c r="E39" s="16" t="str">
        <f aca="true">IF($A39="","",SUMIFS(Invoices!$H$5:$H$504,Invoices!$C$5:$C$504,$A39,Invoices!$F$5:$F$504,"&lt;"&amp;TODAY()))</f>
        <v/>
      </c>
    </row>
    <row r="40" customFormat="false" ht="15" hidden="false" customHeight="false" outlineLevel="0" collapsed="false">
      <c r="A40" s="5"/>
      <c r="B40" s="16" t="str">
        <f aca="false">IF($A40="","",SUMIFS(Invoices!$E$5:$E$504,Invoices!$C$5:$C$504,$A40))</f>
        <v/>
      </c>
      <c r="C40" s="16" t="str">
        <f aca="false">IF($A40="","",SUMIFS(Invoices!$G$5:$G$504,Invoices!$C$5:$C$504,$A40))</f>
        <v/>
      </c>
      <c r="D40" s="16" t="str">
        <f aca="false">IF($A40="","",B40-C40)</f>
        <v/>
      </c>
      <c r="E40" s="16" t="str">
        <f aca="true">IF($A40="","",SUMIFS(Invoices!$H$5:$H$504,Invoices!$C$5:$C$504,$A40,Invoices!$F$5:$F$504,"&lt;"&amp;TODAY()))</f>
        <v/>
      </c>
    </row>
    <row r="41" customFormat="false" ht="15" hidden="false" customHeight="false" outlineLevel="0" collapsed="false">
      <c r="A41" s="5"/>
      <c r="B41" s="16" t="str">
        <f aca="false">IF($A41="","",SUMIFS(Invoices!$E$5:$E$504,Invoices!$C$5:$C$504,$A41))</f>
        <v/>
      </c>
      <c r="C41" s="16" t="str">
        <f aca="false">IF($A41="","",SUMIFS(Invoices!$G$5:$G$504,Invoices!$C$5:$C$504,$A41))</f>
        <v/>
      </c>
      <c r="D41" s="16" t="str">
        <f aca="false">IF($A41="","",B41-C41)</f>
        <v/>
      </c>
      <c r="E41" s="16" t="str">
        <f aca="true">IF($A41="","",SUMIFS(Invoices!$H$5:$H$504,Invoices!$C$5:$C$504,$A41,Invoices!$F$5:$F$504,"&lt;"&amp;TODAY()))</f>
        <v/>
      </c>
    </row>
    <row r="42" customFormat="false" ht="15" hidden="false" customHeight="false" outlineLevel="0" collapsed="false">
      <c r="A42" s="5"/>
      <c r="B42" s="16" t="str">
        <f aca="false">IF($A42="","",SUMIFS(Invoices!$E$5:$E$504,Invoices!$C$5:$C$504,$A42))</f>
        <v/>
      </c>
      <c r="C42" s="16" t="str">
        <f aca="false">IF($A42="","",SUMIFS(Invoices!$G$5:$G$504,Invoices!$C$5:$C$504,$A42))</f>
        <v/>
      </c>
      <c r="D42" s="16" t="str">
        <f aca="false">IF($A42="","",B42-C42)</f>
        <v/>
      </c>
      <c r="E42" s="16" t="str">
        <f aca="true">IF($A42="","",SUMIFS(Invoices!$H$5:$H$504,Invoices!$C$5:$C$504,$A42,Invoices!$F$5:$F$504,"&lt;"&amp;TODAY()))</f>
        <v/>
      </c>
    </row>
    <row r="43" customFormat="false" ht="15" hidden="false" customHeight="false" outlineLevel="0" collapsed="false">
      <c r="A43" s="5"/>
      <c r="B43" s="16" t="str">
        <f aca="false">IF($A43="","",SUMIFS(Invoices!$E$5:$E$504,Invoices!$C$5:$C$504,$A43))</f>
        <v/>
      </c>
      <c r="C43" s="16" t="str">
        <f aca="false">IF($A43="","",SUMIFS(Invoices!$G$5:$G$504,Invoices!$C$5:$C$504,$A43))</f>
        <v/>
      </c>
      <c r="D43" s="16" t="str">
        <f aca="false">IF($A43="","",B43-C43)</f>
        <v/>
      </c>
      <c r="E43" s="16" t="str">
        <f aca="true">IF($A43="","",SUMIFS(Invoices!$H$5:$H$504,Invoices!$C$5:$C$504,$A43,Invoices!$F$5:$F$504,"&lt;"&amp;TODAY()))</f>
        <v/>
      </c>
    </row>
    <row r="44" customFormat="false" ht="15" hidden="false" customHeight="false" outlineLevel="0" collapsed="false">
      <c r="A44" s="5"/>
      <c r="B44" s="16" t="str">
        <f aca="false">IF($A44="","",SUMIFS(Invoices!$E$5:$E$504,Invoices!$C$5:$C$504,$A44))</f>
        <v/>
      </c>
      <c r="C44" s="16" t="str">
        <f aca="false">IF($A44="","",SUMIFS(Invoices!$G$5:$G$504,Invoices!$C$5:$C$504,$A44))</f>
        <v/>
      </c>
      <c r="D44" s="16" t="str">
        <f aca="false">IF($A44="","",B44-C44)</f>
        <v/>
      </c>
      <c r="E44" s="16" t="str">
        <f aca="true">IF($A44="","",SUMIFS(Invoices!$H$5:$H$504,Invoices!$C$5:$C$504,$A44,Invoices!$F$5:$F$504,"&lt;"&amp;TODAY()))</f>
        <v/>
      </c>
    </row>
    <row r="45" customFormat="false" ht="15" hidden="false" customHeight="false" outlineLevel="0" collapsed="false">
      <c r="A45" s="5"/>
      <c r="B45" s="16" t="str">
        <f aca="false">IF($A45="","",SUMIFS(Invoices!$E$5:$E$504,Invoices!$C$5:$C$504,$A45))</f>
        <v/>
      </c>
      <c r="C45" s="16" t="str">
        <f aca="false">IF($A45="","",SUMIFS(Invoices!$G$5:$G$504,Invoices!$C$5:$C$504,$A45))</f>
        <v/>
      </c>
      <c r="D45" s="16" t="str">
        <f aca="false">IF($A45="","",B45-C45)</f>
        <v/>
      </c>
      <c r="E45" s="16" t="str">
        <f aca="true">IF($A45="","",SUMIFS(Invoices!$H$5:$H$504,Invoices!$C$5:$C$504,$A45,Invoices!$F$5:$F$504,"&lt;"&amp;TODAY()))</f>
        <v/>
      </c>
    </row>
    <row r="46" customFormat="false" ht="15" hidden="false" customHeight="false" outlineLevel="0" collapsed="false">
      <c r="A46" s="5"/>
      <c r="B46" s="16" t="str">
        <f aca="false">IF($A46="","",SUMIFS(Invoices!$E$5:$E$504,Invoices!$C$5:$C$504,$A46))</f>
        <v/>
      </c>
      <c r="C46" s="16" t="str">
        <f aca="false">IF($A46="","",SUMIFS(Invoices!$G$5:$G$504,Invoices!$C$5:$C$504,$A46))</f>
        <v/>
      </c>
      <c r="D46" s="16" t="str">
        <f aca="false">IF($A46="","",B46-C46)</f>
        <v/>
      </c>
      <c r="E46" s="16" t="str">
        <f aca="true">IF($A46="","",SUMIFS(Invoices!$H$5:$H$504,Invoices!$C$5:$C$504,$A46,Invoices!$F$5:$F$504,"&lt;"&amp;TODAY()))</f>
        <v/>
      </c>
    </row>
    <row r="47" customFormat="false" ht="15" hidden="false" customHeight="false" outlineLevel="0" collapsed="false">
      <c r="A47" s="5"/>
      <c r="B47" s="16" t="str">
        <f aca="false">IF($A47="","",SUMIFS(Invoices!$E$5:$E$504,Invoices!$C$5:$C$504,$A47))</f>
        <v/>
      </c>
      <c r="C47" s="16" t="str">
        <f aca="false">IF($A47="","",SUMIFS(Invoices!$G$5:$G$504,Invoices!$C$5:$C$504,$A47))</f>
        <v/>
      </c>
      <c r="D47" s="16" t="str">
        <f aca="false">IF($A47="","",B47-C47)</f>
        <v/>
      </c>
      <c r="E47" s="16" t="str">
        <f aca="true">IF($A47="","",SUMIFS(Invoices!$H$5:$H$504,Invoices!$C$5:$C$504,$A47,Invoices!$F$5:$F$504,"&lt;"&amp;TODAY()))</f>
        <v/>
      </c>
    </row>
    <row r="48" customFormat="false" ht="15" hidden="false" customHeight="false" outlineLevel="0" collapsed="false">
      <c r="A48" s="5"/>
      <c r="B48" s="16" t="str">
        <f aca="false">IF($A48="","",SUMIFS(Invoices!$E$5:$E$504,Invoices!$C$5:$C$504,$A48))</f>
        <v/>
      </c>
      <c r="C48" s="16" t="str">
        <f aca="false">IF($A48="","",SUMIFS(Invoices!$G$5:$G$504,Invoices!$C$5:$C$504,$A48))</f>
        <v/>
      </c>
      <c r="D48" s="16" t="str">
        <f aca="false">IF($A48="","",B48-C48)</f>
        <v/>
      </c>
      <c r="E48" s="16" t="str">
        <f aca="true">IF($A48="","",SUMIFS(Invoices!$H$5:$H$504,Invoices!$C$5:$C$504,$A48,Invoices!$F$5:$F$504,"&lt;"&amp;TODAY()))</f>
        <v/>
      </c>
    </row>
    <row r="49" customFormat="false" ht="15" hidden="false" customHeight="false" outlineLevel="0" collapsed="false">
      <c r="A49" s="5"/>
      <c r="B49" s="16" t="str">
        <f aca="false">IF($A49="","",SUMIFS(Invoices!$E$5:$E$504,Invoices!$C$5:$C$504,$A49))</f>
        <v/>
      </c>
      <c r="C49" s="16" t="str">
        <f aca="false">IF($A49="","",SUMIFS(Invoices!$G$5:$G$504,Invoices!$C$5:$C$504,$A49))</f>
        <v/>
      </c>
      <c r="D49" s="16" t="str">
        <f aca="false">IF($A49="","",B49-C49)</f>
        <v/>
      </c>
      <c r="E49" s="16" t="str">
        <f aca="true">IF($A49="","",SUMIFS(Invoices!$H$5:$H$504,Invoices!$C$5:$C$504,$A49,Invoices!$F$5:$F$504,"&lt;"&amp;TODAY()))</f>
        <v/>
      </c>
    </row>
    <row r="50" customFormat="false" ht="15" hidden="false" customHeight="false" outlineLevel="0" collapsed="false">
      <c r="A50" s="5"/>
      <c r="B50" s="16" t="str">
        <f aca="false">IF($A50="","",SUMIFS(Invoices!$E$5:$E$504,Invoices!$C$5:$C$504,$A50))</f>
        <v/>
      </c>
      <c r="C50" s="16" t="str">
        <f aca="false">IF($A50="","",SUMIFS(Invoices!$G$5:$G$504,Invoices!$C$5:$C$504,$A50))</f>
        <v/>
      </c>
      <c r="D50" s="16" t="str">
        <f aca="false">IF($A50="","",B50-C50)</f>
        <v/>
      </c>
      <c r="E50" s="16" t="str">
        <f aca="true">IF($A50="","",SUMIFS(Invoices!$H$5:$H$504,Invoices!$C$5:$C$504,$A50,Invoices!$F$5:$F$504,"&lt;"&amp;TODAY()))</f>
        <v/>
      </c>
    </row>
    <row r="51" customFormat="false" ht="15" hidden="false" customHeight="false" outlineLevel="0" collapsed="false">
      <c r="A51" s="5"/>
      <c r="B51" s="16" t="str">
        <f aca="false">IF($A51="","",SUMIFS(Invoices!$E$5:$E$504,Invoices!$C$5:$C$504,$A51))</f>
        <v/>
      </c>
      <c r="C51" s="16" t="str">
        <f aca="false">IF($A51="","",SUMIFS(Invoices!$G$5:$G$504,Invoices!$C$5:$C$504,$A51))</f>
        <v/>
      </c>
      <c r="D51" s="16" t="str">
        <f aca="false">IF($A51="","",B51-C51)</f>
        <v/>
      </c>
      <c r="E51" s="16" t="str">
        <f aca="true">IF($A51="","",SUMIFS(Invoices!$H$5:$H$504,Invoices!$C$5:$C$504,$A51,Invoices!$F$5:$F$504,"&lt;"&amp;TODAY()))</f>
        <v/>
      </c>
    </row>
    <row r="52" customFormat="false" ht="15" hidden="false" customHeight="false" outlineLevel="0" collapsed="false">
      <c r="A52" s="5"/>
      <c r="B52" s="16" t="str">
        <f aca="false">IF($A52="","",SUMIFS(Invoices!$E$5:$E$504,Invoices!$C$5:$C$504,$A52))</f>
        <v/>
      </c>
      <c r="C52" s="16" t="str">
        <f aca="false">IF($A52="","",SUMIFS(Invoices!$G$5:$G$504,Invoices!$C$5:$C$504,$A52))</f>
        <v/>
      </c>
      <c r="D52" s="16" t="str">
        <f aca="false">IF($A52="","",B52-C52)</f>
        <v/>
      </c>
      <c r="E52" s="16" t="str">
        <f aca="true">IF($A52="","",SUMIFS(Invoices!$H$5:$H$504,Invoices!$C$5:$C$504,$A52,Invoices!$F$5:$F$504,"&lt;"&amp;TODAY()))</f>
        <v/>
      </c>
    </row>
    <row r="53" customFormat="false" ht="15" hidden="false" customHeight="false" outlineLevel="0" collapsed="false">
      <c r="A53" s="5"/>
      <c r="B53" s="16" t="str">
        <f aca="false">IF($A53="","",SUMIFS(Invoices!$E$5:$E$504,Invoices!$C$5:$C$504,$A53))</f>
        <v/>
      </c>
      <c r="C53" s="16" t="str">
        <f aca="false">IF($A53="","",SUMIFS(Invoices!$G$5:$G$504,Invoices!$C$5:$C$504,$A53))</f>
        <v/>
      </c>
      <c r="D53" s="16" t="str">
        <f aca="false">IF($A53="","",B53-C53)</f>
        <v/>
      </c>
      <c r="E53" s="16" t="str">
        <f aca="true">IF($A53="","",SUMIFS(Invoices!$H$5:$H$504,Invoices!$C$5:$C$504,$A53,Invoices!$F$5:$F$504,"&lt;"&amp;TODAY()))</f>
        <v/>
      </c>
    </row>
    <row r="54" customFormat="false" ht="15" hidden="false" customHeight="false" outlineLevel="0" collapsed="false">
      <c r="A54" s="5"/>
      <c r="B54" s="16" t="str">
        <f aca="false">IF($A54="","",SUMIFS(Invoices!$E$5:$E$504,Invoices!$C$5:$C$504,$A54))</f>
        <v/>
      </c>
      <c r="C54" s="16" t="str">
        <f aca="false">IF($A54="","",SUMIFS(Invoices!$G$5:$G$504,Invoices!$C$5:$C$504,$A54))</f>
        <v/>
      </c>
      <c r="D54" s="16" t="str">
        <f aca="false">IF($A54="","",B54-C54)</f>
        <v/>
      </c>
      <c r="E54" s="16" t="str">
        <f aca="true">IF($A54="","",SUMIFS(Invoices!$H$5:$H$504,Invoices!$C$5:$C$504,$A54,Invoices!$F$5:$F$504,"&lt;"&amp;TODAY()))</f>
        <v/>
      </c>
    </row>
    <row r="55" customFormat="false" ht="15" hidden="false" customHeight="false" outlineLevel="0" collapsed="false">
      <c r="A55" s="5"/>
      <c r="B55" s="16" t="str">
        <f aca="false">IF($A55="","",SUMIFS(Invoices!$E$5:$E$504,Invoices!$C$5:$C$504,$A55))</f>
        <v/>
      </c>
      <c r="C55" s="16" t="str">
        <f aca="false">IF($A55="","",SUMIFS(Invoices!$G$5:$G$504,Invoices!$C$5:$C$504,$A55))</f>
        <v/>
      </c>
      <c r="D55" s="16" t="str">
        <f aca="false">IF($A55="","",B55-C55)</f>
        <v/>
      </c>
      <c r="E55" s="16" t="str">
        <f aca="true">IF($A55="","",SUMIFS(Invoices!$H$5:$H$504,Invoices!$C$5:$C$504,$A55,Invoices!$F$5:$F$504,"&lt;"&amp;TODAY()))</f>
        <v/>
      </c>
    </row>
    <row r="56" customFormat="false" ht="15" hidden="false" customHeight="false" outlineLevel="0" collapsed="false">
      <c r="A56" s="5"/>
      <c r="B56" s="16" t="str">
        <f aca="false">IF($A56="","",SUMIFS(Invoices!$E$5:$E$504,Invoices!$C$5:$C$504,$A56))</f>
        <v/>
      </c>
      <c r="C56" s="16" t="str">
        <f aca="false">IF($A56="","",SUMIFS(Invoices!$G$5:$G$504,Invoices!$C$5:$C$504,$A56))</f>
        <v/>
      </c>
      <c r="D56" s="16" t="str">
        <f aca="false">IF($A56="","",B56-C56)</f>
        <v/>
      </c>
      <c r="E56" s="16" t="str">
        <f aca="true">IF($A56="","",SUMIFS(Invoices!$H$5:$H$504,Invoices!$C$5:$C$504,$A56,Invoices!$F$5:$F$504,"&lt;"&amp;TODAY()))</f>
        <v/>
      </c>
    </row>
    <row r="57" customFormat="false" ht="15" hidden="false" customHeight="false" outlineLevel="0" collapsed="false">
      <c r="A57" s="5"/>
      <c r="B57" s="16" t="str">
        <f aca="false">IF($A57="","",SUMIFS(Invoices!$E$5:$E$504,Invoices!$C$5:$C$504,$A57))</f>
        <v/>
      </c>
      <c r="C57" s="16" t="str">
        <f aca="false">IF($A57="","",SUMIFS(Invoices!$G$5:$G$504,Invoices!$C$5:$C$504,$A57))</f>
        <v/>
      </c>
      <c r="D57" s="16" t="str">
        <f aca="false">IF($A57="","",B57-C57)</f>
        <v/>
      </c>
      <c r="E57" s="16" t="str">
        <f aca="true">IF($A57="","",SUMIFS(Invoices!$H$5:$H$504,Invoices!$C$5:$C$504,$A57,Invoices!$F$5:$F$504,"&lt;"&amp;TODAY()))</f>
        <v/>
      </c>
    </row>
    <row r="58" customFormat="false" ht="15" hidden="false" customHeight="false" outlineLevel="0" collapsed="false">
      <c r="A58" s="5"/>
      <c r="B58" s="16" t="str">
        <f aca="false">IF($A58="","",SUMIFS(Invoices!$E$5:$E$504,Invoices!$C$5:$C$504,$A58))</f>
        <v/>
      </c>
      <c r="C58" s="16" t="str">
        <f aca="false">IF($A58="","",SUMIFS(Invoices!$G$5:$G$504,Invoices!$C$5:$C$504,$A58))</f>
        <v/>
      </c>
      <c r="D58" s="16" t="str">
        <f aca="false">IF($A58="","",B58-C58)</f>
        <v/>
      </c>
      <c r="E58" s="16" t="str">
        <f aca="true">IF($A58="","",SUMIFS(Invoices!$H$5:$H$504,Invoices!$C$5:$C$504,$A58,Invoices!$F$5:$F$504,"&lt;"&amp;TODAY()))</f>
        <v/>
      </c>
    </row>
    <row r="59" customFormat="false" ht="15" hidden="false" customHeight="false" outlineLevel="0" collapsed="false">
      <c r="A59" s="5"/>
      <c r="B59" s="16" t="str">
        <f aca="false">IF($A59="","",SUMIFS(Invoices!$E$5:$E$504,Invoices!$C$5:$C$504,$A59))</f>
        <v/>
      </c>
      <c r="C59" s="16" t="str">
        <f aca="false">IF($A59="","",SUMIFS(Invoices!$G$5:$G$504,Invoices!$C$5:$C$504,$A59))</f>
        <v/>
      </c>
      <c r="D59" s="16" t="str">
        <f aca="false">IF($A59="","",B59-C59)</f>
        <v/>
      </c>
      <c r="E59" s="16" t="str">
        <f aca="true">IF($A59="","",SUMIFS(Invoices!$H$5:$H$504,Invoices!$C$5:$C$504,$A59,Invoices!$F$5:$F$504,"&lt;"&amp;TODAY()))</f>
        <v/>
      </c>
    </row>
    <row r="60" customFormat="false" ht="15" hidden="false" customHeight="false" outlineLevel="0" collapsed="false">
      <c r="A60" s="5"/>
      <c r="B60" s="16" t="str">
        <f aca="false">IF($A60="","",SUMIFS(Invoices!$E$5:$E$504,Invoices!$C$5:$C$504,$A60))</f>
        <v/>
      </c>
      <c r="C60" s="16" t="str">
        <f aca="false">IF($A60="","",SUMIFS(Invoices!$G$5:$G$504,Invoices!$C$5:$C$504,$A60))</f>
        <v/>
      </c>
      <c r="D60" s="16" t="str">
        <f aca="false">IF($A60="","",B60-C60)</f>
        <v/>
      </c>
      <c r="E60" s="16" t="str">
        <f aca="true">IF($A60="","",SUMIFS(Invoices!$H$5:$H$504,Invoices!$C$5:$C$504,$A60,Invoices!$F$5:$F$504,"&lt;"&amp;TODAY()))</f>
        <v/>
      </c>
    </row>
    <row r="61" customFormat="false" ht="15" hidden="false" customHeight="false" outlineLevel="0" collapsed="false">
      <c r="A61" s="5"/>
      <c r="B61" s="16" t="str">
        <f aca="false">IF($A61="","",SUMIFS(Invoices!$E$5:$E$504,Invoices!$C$5:$C$504,$A61))</f>
        <v/>
      </c>
      <c r="C61" s="16" t="str">
        <f aca="false">IF($A61="","",SUMIFS(Invoices!$G$5:$G$504,Invoices!$C$5:$C$504,$A61))</f>
        <v/>
      </c>
      <c r="D61" s="16" t="str">
        <f aca="false">IF($A61="","",B61-C61)</f>
        <v/>
      </c>
      <c r="E61" s="16" t="str">
        <f aca="true">IF($A61="","",SUMIFS(Invoices!$H$5:$H$504,Invoices!$C$5:$C$504,$A61,Invoices!$F$5:$F$504,"&lt;"&amp;TODAY()))</f>
        <v/>
      </c>
    </row>
    <row r="62" customFormat="false" ht="15" hidden="false" customHeight="false" outlineLevel="0" collapsed="false">
      <c r="A62" s="5"/>
      <c r="B62" s="16" t="str">
        <f aca="false">IF($A62="","",SUMIFS(Invoices!$E$5:$E$504,Invoices!$C$5:$C$504,$A62))</f>
        <v/>
      </c>
      <c r="C62" s="16" t="str">
        <f aca="false">IF($A62="","",SUMIFS(Invoices!$G$5:$G$504,Invoices!$C$5:$C$504,$A62))</f>
        <v/>
      </c>
      <c r="D62" s="16" t="str">
        <f aca="false">IF($A62="","",B62-C62)</f>
        <v/>
      </c>
      <c r="E62" s="16" t="str">
        <f aca="true">IF($A62="","",SUMIFS(Invoices!$H$5:$H$504,Invoices!$C$5:$C$504,$A62,Invoices!$F$5:$F$504,"&lt;"&amp;TODAY()))</f>
        <v/>
      </c>
    </row>
    <row r="63" customFormat="false" ht="15" hidden="false" customHeight="false" outlineLevel="0" collapsed="false">
      <c r="A63" s="5"/>
      <c r="B63" s="16" t="str">
        <f aca="false">IF($A63="","",SUMIFS(Invoices!$E$5:$E$504,Invoices!$C$5:$C$504,$A63))</f>
        <v/>
      </c>
      <c r="C63" s="16" t="str">
        <f aca="false">IF($A63="","",SUMIFS(Invoices!$G$5:$G$504,Invoices!$C$5:$C$504,$A63))</f>
        <v/>
      </c>
      <c r="D63" s="16" t="str">
        <f aca="false">IF($A63="","",B63-C63)</f>
        <v/>
      </c>
      <c r="E63" s="16" t="str">
        <f aca="true">IF($A63="","",SUMIFS(Invoices!$H$5:$H$504,Invoices!$C$5:$C$504,$A63,Invoices!$F$5:$F$504,"&lt;"&amp;TODAY()))</f>
        <v/>
      </c>
    </row>
    <row r="64" customFormat="false" ht="15" hidden="false" customHeight="false" outlineLevel="0" collapsed="false">
      <c r="A64" s="5"/>
      <c r="B64" s="16" t="str">
        <f aca="false">IF($A64="","",SUMIFS(Invoices!$E$5:$E$504,Invoices!$C$5:$C$504,$A64))</f>
        <v/>
      </c>
      <c r="C64" s="16" t="str">
        <f aca="false">IF($A64="","",SUMIFS(Invoices!$G$5:$G$504,Invoices!$C$5:$C$504,$A64))</f>
        <v/>
      </c>
      <c r="D64" s="16" t="str">
        <f aca="false">IF($A64="","",B64-C64)</f>
        <v/>
      </c>
      <c r="E64" s="16" t="str">
        <f aca="true">IF($A64="","",SUMIFS(Invoices!$H$5:$H$504,Invoices!$C$5:$C$504,$A64,Invoices!$F$5:$F$504,"&lt;"&amp;TODAY()))</f>
        <v/>
      </c>
    </row>
    <row r="65" customFormat="false" ht="15" hidden="false" customHeight="false" outlineLevel="0" collapsed="false">
      <c r="A65" s="5"/>
      <c r="B65" s="16" t="str">
        <f aca="false">IF($A65="","",SUMIFS(Invoices!$E$5:$E$504,Invoices!$C$5:$C$504,$A65))</f>
        <v/>
      </c>
      <c r="C65" s="16" t="str">
        <f aca="false">IF($A65="","",SUMIFS(Invoices!$G$5:$G$504,Invoices!$C$5:$C$504,$A65))</f>
        <v/>
      </c>
      <c r="D65" s="16" t="str">
        <f aca="false">IF($A65="","",B65-C65)</f>
        <v/>
      </c>
      <c r="E65" s="16" t="str">
        <f aca="true">IF($A65="","",SUMIFS(Invoices!$H$5:$H$504,Invoices!$C$5:$C$504,$A65,Invoices!$F$5:$F$504,"&lt;"&amp;TODAY()))</f>
        <v/>
      </c>
    </row>
    <row r="66" customFormat="false" ht="15" hidden="false" customHeight="false" outlineLevel="0" collapsed="false">
      <c r="A66" s="5"/>
      <c r="B66" s="16" t="str">
        <f aca="false">IF($A66="","",SUMIFS(Invoices!$E$5:$E$504,Invoices!$C$5:$C$504,$A66))</f>
        <v/>
      </c>
      <c r="C66" s="16" t="str">
        <f aca="false">IF($A66="","",SUMIFS(Invoices!$G$5:$G$504,Invoices!$C$5:$C$504,$A66))</f>
        <v/>
      </c>
      <c r="D66" s="16" t="str">
        <f aca="false">IF($A66="","",B66-C66)</f>
        <v/>
      </c>
      <c r="E66" s="16" t="str">
        <f aca="true">IF($A66="","",SUMIFS(Invoices!$H$5:$H$504,Invoices!$C$5:$C$504,$A66,Invoices!$F$5:$F$504,"&lt;"&amp;TODAY()))</f>
        <v/>
      </c>
    </row>
    <row r="67" customFormat="false" ht="15" hidden="false" customHeight="false" outlineLevel="0" collapsed="false">
      <c r="A67" s="5"/>
      <c r="B67" s="16" t="str">
        <f aca="false">IF($A67="","",SUMIFS(Invoices!$E$5:$E$504,Invoices!$C$5:$C$504,$A67))</f>
        <v/>
      </c>
      <c r="C67" s="16" t="str">
        <f aca="false">IF($A67="","",SUMIFS(Invoices!$G$5:$G$504,Invoices!$C$5:$C$504,$A67))</f>
        <v/>
      </c>
      <c r="D67" s="16" t="str">
        <f aca="false">IF($A67="","",B67-C67)</f>
        <v/>
      </c>
      <c r="E67" s="16" t="str">
        <f aca="true">IF($A67="","",SUMIFS(Invoices!$H$5:$H$504,Invoices!$C$5:$C$504,$A67,Invoices!$F$5:$F$504,"&lt;"&amp;TODAY()))</f>
        <v/>
      </c>
    </row>
    <row r="68" customFormat="false" ht="15" hidden="false" customHeight="false" outlineLevel="0" collapsed="false">
      <c r="A68" s="5"/>
      <c r="B68" s="16" t="str">
        <f aca="false">IF($A68="","",SUMIFS(Invoices!$E$5:$E$504,Invoices!$C$5:$C$504,$A68))</f>
        <v/>
      </c>
      <c r="C68" s="16" t="str">
        <f aca="false">IF($A68="","",SUMIFS(Invoices!$G$5:$G$504,Invoices!$C$5:$C$504,$A68))</f>
        <v/>
      </c>
      <c r="D68" s="16" t="str">
        <f aca="false">IF($A68="","",B68-C68)</f>
        <v/>
      </c>
      <c r="E68" s="16" t="str">
        <f aca="true">IF($A68="","",SUMIFS(Invoices!$H$5:$H$504,Invoices!$C$5:$C$504,$A68,Invoices!$F$5:$F$504,"&lt;"&amp;TODAY()))</f>
        <v/>
      </c>
    </row>
    <row r="69" customFormat="false" ht="15" hidden="false" customHeight="false" outlineLevel="0" collapsed="false">
      <c r="A69" s="5"/>
      <c r="B69" s="16" t="str">
        <f aca="false">IF($A69="","",SUMIFS(Invoices!$E$5:$E$504,Invoices!$C$5:$C$504,$A69))</f>
        <v/>
      </c>
      <c r="C69" s="16" t="str">
        <f aca="false">IF($A69="","",SUMIFS(Invoices!$G$5:$G$504,Invoices!$C$5:$C$504,$A69))</f>
        <v/>
      </c>
      <c r="D69" s="16" t="str">
        <f aca="false">IF($A69="","",B69-C69)</f>
        <v/>
      </c>
      <c r="E69" s="16" t="str">
        <f aca="true">IF($A69="","",SUMIFS(Invoices!$H$5:$H$504,Invoices!$C$5:$C$504,$A69,Invoices!$F$5:$F$504,"&lt;"&amp;TODAY()))</f>
        <v/>
      </c>
    </row>
    <row r="70" customFormat="false" ht="15" hidden="false" customHeight="false" outlineLevel="0" collapsed="false">
      <c r="A70" s="5"/>
      <c r="B70" s="16" t="str">
        <f aca="false">IF($A70="","",SUMIFS(Invoices!$E$5:$E$504,Invoices!$C$5:$C$504,$A70))</f>
        <v/>
      </c>
      <c r="C70" s="16" t="str">
        <f aca="false">IF($A70="","",SUMIFS(Invoices!$G$5:$G$504,Invoices!$C$5:$C$504,$A70))</f>
        <v/>
      </c>
      <c r="D70" s="16" t="str">
        <f aca="false">IF($A70="","",B70-C70)</f>
        <v/>
      </c>
      <c r="E70" s="16" t="str">
        <f aca="true">IF($A70="","",SUMIFS(Invoices!$H$5:$H$504,Invoices!$C$5:$C$504,$A70,Invoices!$F$5:$F$504,"&lt;"&amp;TODAY()))</f>
        <v/>
      </c>
    </row>
    <row r="71" customFormat="false" ht="15" hidden="false" customHeight="false" outlineLevel="0" collapsed="false">
      <c r="A71" s="5"/>
      <c r="B71" s="16" t="str">
        <f aca="false">IF($A71="","",SUMIFS(Invoices!$E$5:$E$504,Invoices!$C$5:$C$504,$A71))</f>
        <v/>
      </c>
      <c r="C71" s="16" t="str">
        <f aca="false">IF($A71="","",SUMIFS(Invoices!$G$5:$G$504,Invoices!$C$5:$C$504,$A71))</f>
        <v/>
      </c>
      <c r="D71" s="16" t="str">
        <f aca="false">IF($A71="","",B71-C71)</f>
        <v/>
      </c>
      <c r="E71" s="16" t="str">
        <f aca="true">IF($A71="","",SUMIFS(Invoices!$H$5:$H$504,Invoices!$C$5:$C$504,$A71,Invoices!$F$5:$F$504,"&lt;"&amp;TODAY()))</f>
        <v/>
      </c>
    </row>
    <row r="72" customFormat="false" ht="15" hidden="false" customHeight="false" outlineLevel="0" collapsed="false">
      <c r="A72" s="5"/>
      <c r="B72" s="16" t="str">
        <f aca="false">IF($A72="","",SUMIFS(Invoices!$E$5:$E$504,Invoices!$C$5:$C$504,$A72))</f>
        <v/>
      </c>
      <c r="C72" s="16" t="str">
        <f aca="false">IF($A72="","",SUMIFS(Invoices!$G$5:$G$504,Invoices!$C$5:$C$504,$A72))</f>
        <v/>
      </c>
      <c r="D72" s="16" t="str">
        <f aca="false">IF($A72="","",B72-C72)</f>
        <v/>
      </c>
      <c r="E72" s="16" t="str">
        <f aca="true">IF($A72="","",SUMIFS(Invoices!$H$5:$H$504,Invoices!$C$5:$C$504,$A72,Invoices!$F$5:$F$504,"&lt;"&amp;TODAY()))</f>
        <v/>
      </c>
    </row>
    <row r="73" customFormat="false" ht="15" hidden="false" customHeight="false" outlineLevel="0" collapsed="false">
      <c r="A73" s="5"/>
      <c r="B73" s="16" t="str">
        <f aca="false">IF($A73="","",SUMIFS(Invoices!$E$5:$E$504,Invoices!$C$5:$C$504,$A73))</f>
        <v/>
      </c>
      <c r="C73" s="16" t="str">
        <f aca="false">IF($A73="","",SUMIFS(Invoices!$G$5:$G$504,Invoices!$C$5:$C$504,$A73))</f>
        <v/>
      </c>
      <c r="D73" s="16" t="str">
        <f aca="false">IF($A73="","",B73-C73)</f>
        <v/>
      </c>
      <c r="E73" s="16" t="str">
        <f aca="true">IF($A73="","",SUMIFS(Invoices!$H$5:$H$504,Invoices!$C$5:$C$504,$A73,Invoices!$F$5:$F$504,"&lt;"&amp;TODAY()))</f>
        <v/>
      </c>
    </row>
    <row r="74" customFormat="false" ht="15" hidden="false" customHeight="false" outlineLevel="0" collapsed="false">
      <c r="A74" s="5"/>
      <c r="B74" s="16" t="str">
        <f aca="false">IF($A74="","",SUMIFS(Invoices!$E$5:$E$504,Invoices!$C$5:$C$504,$A74))</f>
        <v/>
      </c>
      <c r="C74" s="16" t="str">
        <f aca="false">IF($A74="","",SUMIFS(Invoices!$G$5:$G$504,Invoices!$C$5:$C$504,$A74))</f>
        <v/>
      </c>
      <c r="D74" s="16" t="str">
        <f aca="false">IF($A74="","",B74-C74)</f>
        <v/>
      </c>
      <c r="E74" s="16" t="str">
        <f aca="true">IF($A74="","",SUMIFS(Invoices!$H$5:$H$504,Invoices!$C$5:$C$504,$A74,Invoices!$F$5:$F$504,"&lt;"&amp;TODAY()))</f>
        <v/>
      </c>
    </row>
    <row r="75" customFormat="false" ht="15" hidden="false" customHeight="false" outlineLevel="0" collapsed="false">
      <c r="A75" s="5"/>
      <c r="B75" s="16" t="str">
        <f aca="false">IF($A75="","",SUMIFS(Invoices!$E$5:$E$504,Invoices!$C$5:$C$504,$A75))</f>
        <v/>
      </c>
      <c r="C75" s="16" t="str">
        <f aca="false">IF($A75="","",SUMIFS(Invoices!$G$5:$G$504,Invoices!$C$5:$C$504,$A75))</f>
        <v/>
      </c>
      <c r="D75" s="16" t="str">
        <f aca="false">IF($A75="","",B75-C75)</f>
        <v/>
      </c>
      <c r="E75" s="16" t="str">
        <f aca="true">IF($A75="","",SUMIFS(Invoices!$H$5:$H$504,Invoices!$C$5:$C$504,$A75,Invoices!$F$5:$F$504,"&lt;"&amp;TODAY()))</f>
        <v/>
      </c>
    </row>
    <row r="76" customFormat="false" ht="15" hidden="false" customHeight="false" outlineLevel="0" collapsed="false">
      <c r="A76" s="5"/>
      <c r="B76" s="16" t="str">
        <f aca="false">IF($A76="","",SUMIFS(Invoices!$E$5:$E$504,Invoices!$C$5:$C$504,$A76))</f>
        <v/>
      </c>
      <c r="C76" s="16" t="str">
        <f aca="false">IF($A76="","",SUMIFS(Invoices!$G$5:$G$504,Invoices!$C$5:$C$504,$A76))</f>
        <v/>
      </c>
      <c r="D76" s="16" t="str">
        <f aca="false">IF($A76="","",B76-C76)</f>
        <v/>
      </c>
      <c r="E76" s="16" t="str">
        <f aca="true">IF($A76="","",SUMIFS(Invoices!$H$5:$H$504,Invoices!$C$5:$C$504,$A76,Invoices!$F$5:$F$504,"&lt;"&amp;TODAY()))</f>
        <v/>
      </c>
    </row>
    <row r="77" customFormat="false" ht="15" hidden="false" customHeight="false" outlineLevel="0" collapsed="false">
      <c r="A77" s="5"/>
      <c r="B77" s="16" t="str">
        <f aca="false">IF($A77="","",SUMIFS(Invoices!$E$5:$E$504,Invoices!$C$5:$C$504,$A77))</f>
        <v/>
      </c>
      <c r="C77" s="16" t="str">
        <f aca="false">IF($A77="","",SUMIFS(Invoices!$G$5:$G$504,Invoices!$C$5:$C$504,$A77))</f>
        <v/>
      </c>
      <c r="D77" s="16" t="str">
        <f aca="false">IF($A77="","",B77-C77)</f>
        <v/>
      </c>
      <c r="E77" s="16" t="str">
        <f aca="true">IF($A77="","",SUMIFS(Invoices!$H$5:$H$504,Invoices!$C$5:$C$504,$A77,Invoices!$F$5:$F$504,"&lt;"&amp;TODAY()))</f>
        <v/>
      </c>
    </row>
    <row r="78" customFormat="false" ht="15" hidden="false" customHeight="false" outlineLevel="0" collapsed="false">
      <c r="A78" s="5"/>
      <c r="B78" s="16" t="str">
        <f aca="false">IF($A78="","",SUMIFS(Invoices!$E$5:$E$504,Invoices!$C$5:$C$504,$A78))</f>
        <v/>
      </c>
      <c r="C78" s="16" t="str">
        <f aca="false">IF($A78="","",SUMIFS(Invoices!$G$5:$G$504,Invoices!$C$5:$C$504,$A78))</f>
        <v/>
      </c>
      <c r="D78" s="16" t="str">
        <f aca="false">IF($A78="","",B78-C78)</f>
        <v/>
      </c>
      <c r="E78" s="16" t="str">
        <f aca="true">IF($A78="","",SUMIFS(Invoices!$H$5:$H$504,Invoices!$C$5:$C$504,$A78,Invoices!$F$5:$F$504,"&lt;"&amp;TODAY()))</f>
        <v/>
      </c>
    </row>
    <row r="79" customFormat="false" ht="15" hidden="false" customHeight="false" outlineLevel="0" collapsed="false">
      <c r="A79" s="5"/>
      <c r="B79" s="16" t="str">
        <f aca="false">IF($A79="","",SUMIFS(Invoices!$E$5:$E$504,Invoices!$C$5:$C$504,$A79))</f>
        <v/>
      </c>
      <c r="C79" s="16" t="str">
        <f aca="false">IF($A79="","",SUMIFS(Invoices!$G$5:$G$504,Invoices!$C$5:$C$504,$A79))</f>
        <v/>
      </c>
      <c r="D79" s="16" t="str">
        <f aca="false">IF($A79="","",B79-C79)</f>
        <v/>
      </c>
      <c r="E79" s="16" t="str">
        <f aca="true">IF($A79="","",SUMIFS(Invoices!$H$5:$H$504,Invoices!$C$5:$C$504,$A79,Invoices!$F$5:$F$504,"&lt;"&amp;TODAY()))</f>
        <v/>
      </c>
    </row>
    <row r="80" customFormat="false" ht="15" hidden="false" customHeight="false" outlineLevel="0" collapsed="false">
      <c r="A80" s="5"/>
      <c r="B80" s="16" t="str">
        <f aca="false">IF($A80="","",SUMIFS(Invoices!$E$5:$E$504,Invoices!$C$5:$C$504,$A80))</f>
        <v/>
      </c>
      <c r="C80" s="16" t="str">
        <f aca="false">IF($A80="","",SUMIFS(Invoices!$G$5:$G$504,Invoices!$C$5:$C$504,$A80))</f>
        <v/>
      </c>
      <c r="D80" s="16" t="str">
        <f aca="false">IF($A80="","",B80-C80)</f>
        <v/>
      </c>
      <c r="E80" s="16" t="str">
        <f aca="true">IF($A80="","",SUMIFS(Invoices!$H$5:$H$504,Invoices!$C$5:$C$504,$A80,Invoices!$F$5:$F$504,"&lt;"&amp;TODAY()))</f>
        <v/>
      </c>
    </row>
    <row r="81" customFormat="false" ht="15" hidden="false" customHeight="false" outlineLevel="0" collapsed="false">
      <c r="A81" s="5"/>
      <c r="B81" s="16" t="str">
        <f aca="false">IF($A81="","",SUMIFS(Invoices!$E$5:$E$504,Invoices!$C$5:$C$504,$A81))</f>
        <v/>
      </c>
      <c r="C81" s="16" t="str">
        <f aca="false">IF($A81="","",SUMIFS(Invoices!$G$5:$G$504,Invoices!$C$5:$C$504,$A81))</f>
        <v/>
      </c>
      <c r="D81" s="16" t="str">
        <f aca="false">IF($A81="","",B81-C81)</f>
        <v/>
      </c>
      <c r="E81" s="16" t="str">
        <f aca="true">IF($A81="","",SUMIFS(Invoices!$H$5:$H$504,Invoices!$C$5:$C$504,$A81,Invoices!$F$5:$F$504,"&lt;"&amp;TODAY()))</f>
        <v/>
      </c>
    </row>
    <row r="82" customFormat="false" ht="15" hidden="false" customHeight="false" outlineLevel="0" collapsed="false">
      <c r="A82" s="5"/>
      <c r="B82" s="16" t="str">
        <f aca="false">IF($A82="","",SUMIFS(Invoices!$E$5:$E$504,Invoices!$C$5:$C$504,$A82))</f>
        <v/>
      </c>
      <c r="C82" s="16" t="str">
        <f aca="false">IF($A82="","",SUMIFS(Invoices!$G$5:$G$504,Invoices!$C$5:$C$504,$A82))</f>
        <v/>
      </c>
      <c r="D82" s="16" t="str">
        <f aca="false">IF($A82="","",B82-C82)</f>
        <v/>
      </c>
      <c r="E82" s="16" t="str">
        <f aca="true">IF($A82="","",SUMIFS(Invoices!$H$5:$H$504,Invoices!$C$5:$C$504,$A82,Invoices!$F$5:$F$504,"&lt;"&amp;TODAY()))</f>
        <v/>
      </c>
    </row>
    <row r="83" customFormat="false" ht="15" hidden="false" customHeight="false" outlineLevel="0" collapsed="false">
      <c r="A83" s="5"/>
      <c r="B83" s="16" t="str">
        <f aca="false">IF($A83="","",SUMIFS(Invoices!$E$5:$E$504,Invoices!$C$5:$C$504,$A83))</f>
        <v/>
      </c>
      <c r="C83" s="16" t="str">
        <f aca="false">IF($A83="","",SUMIFS(Invoices!$G$5:$G$504,Invoices!$C$5:$C$504,$A83))</f>
        <v/>
      </c>
      <c r="D83" s="16" t="str">
        <f aca="false">IF($A83="","",B83-C83)</f>
        <v/>
      </c>
      <c r="E83" s="16" t="str">
        <f aca="true">IF($A83="","",SUMIFS(Invoices!$H$5:$H$504,Invoices!$C$5:$C$504,$A83,Invoices!$F$5:$F$504,"&lt;"&amp;TODAY()))</f>
        <v/>
      </c>
    </row>
    <row r="84" customFormat="false" ht="15" hidden="false" customHeight="false" outlineLevel="0" collapsed="false">
      <c r="A84" s="5"/>
      <c r="B84" s="16" t="str">
        <f aca="false">IF($A84="","",SUMIFS(Invoices!$E$5:$E$504,Invoices!$C$5:$C$504,$A84))</f>
        <v/>
      </c>
      <c r="C84" s="16" t="str">
        <f aca="false">IF($A84="","",SUMIFS(Invoices!$G$5:$G$504,Invoices!$C$5:$C$504,$A84))</f>
        <v/>
      </c>
      <c r="D84" s="16" t="str">
        <f aca="false">IF($A84="","",B84-C84)</f>
        <v/>
      </c>
      <c r="E84" s="16" t="str">
        <f aca="true">IF($A84="","",SUMIFS(Invoices!$H$5:$H$504,Invoices!$C$5:$C$504,$A84,Invoices!$F$5:$F$504,"&lt;"&amp;TODAY()))</f>
        <v/>
      </c>
    </row>
    <row r="85" customFormat="false" ht="15" hidden="false" customHeight="false" outlineLevel="0" collapsed="false">
      <c r="A85" s="5"/>
      <c r="B85" s="16" t="str">
        <f aca="false">IF($A85="","",SUMIFS(Invoices!$E$5:$E$504,Invoices!$C$5:$C$504,$A85))</f>
        <v/>
      </c>
      <c r="C85" s="16" t="str">
        <f aca="false">IF($A85="","",SUMIFS(Invoices!$G$5:$G$504,Invoices!$C$5:$C$504,$A85))</f>
        <v/>
      </c>
      <c r="D85" s="16" t="str">
        <f aca="false">IF($A85="","",B85-C85)</f>
        <v/>
      </c>
      <c r="E85" s="16" t="str">
        <f aca="true">IF($A85="","",SUMIFS(Invoices!$H$5:$H$504,Invoices!$C$5:$C$504,$A85,Invoices!$F$5:$F$504,"&lt;"&amp;TODAY()))</f>
        <v/>
      </c>
    </row>
    <row r="86" customFormat="false" ht="15" hidden="false" customHeight="false" outlineLevel="0" collapsed="false">
      <c r="A86" s="5"/>
      <c r="B86" s="16" t="str">
        <f aca="false">IF($A86="","",SUMIFS(Invoices!$E$5:$E$504,Invoices!$C$5:$C$504,$A86))</f>
        <v/>
      </c>
      <c r="C86" s="16" t="str">
        <f aca="false">IF($A86="","",SUMIFS(Invoices!$G$5:$G$504,Invoices!$C$5:$C$504,$A86))</f>
        <v/>
      </c>
      <c r="D86" s="16" t="str">
        <f aca="false">IF($A86="","",B86-C86)</f>
        <v/>
      </c>
      <c r="E86" s="16" t="str">
        <f aca="true">IF($A86="","",SUMIFS(Invoices!$H$5:$H$504,Invoices!$C$5:$C$504,$A86,Invoices!$F$5:$F$504,"&lt;"&amp;TODAY()))</f>
        <v/>
      </c>
    </row>
    <row r="87" customFormat="false" ht="15" hidden="false" customHeight="false" outlineLevel="0" collapsed="false">
      <c r="A87" s="5"/>
      <c r="B87" s="16" t="str">
        <f aca="false">IF($A87="","",SUMIFS(Invoices!$E$5:$E$504,Invoices!$C$5:$C$504,$A87))</f>
        <v/>
      </c>
      <c r="C87" s="16" t="str">
        <f aca="false">IF($A87="","",SUMIFS(Invoices!$G$5:$G$504,Invoices!$C$5:$C$504,$A87))</f>
        <v/>
      </c>
      <c r="D87" s="16" t="str">
        <f aca="false">IF($A87="","",B87-C87)</f>
        <v/>
      </c>
      <c r="E87" s="16" t="str">
        <f aca="true">IF($A87="","",SUMIFS(Invoices!$H$5:$H$504,Invoices!$C$5:$C$504,$A87,Invoices!$F$5:$F$504,"&lt;"&amp;TODAY()))</f>
        <v/>
      </c>
    </row>
    <row r="88" customFormat="false" ht="15" hidden="false" customHeight="false" outlineLevel="0" collapsed="false">
      <c r="A88" s="5"/>
      <c r="B88" s="16" t="str">
        <f aca="false">IF($A88="","",SUMIFS(Invoices!$E$5:$E$504,Invoices!$C$5:$C$504,$A88))</f>
        <v/>
      </c>
      <c r="C88" s="16" t="str">
        <f aca="false">IF($A88="","",SUMIFS(Invoices!$G$5:$G$504,Invoices!$C$5:$C$504,$A88))</f>
        <v/>
      </c>
      <c r="D88" s="16" t="str">
        <f aca="false">IF($A88="","",B88-C88)</f>
        <v/>
      </c>
      <c r="E88" s="16" t="str">
        <f aca="true">IF($A88="","",SUMIFS(Invoices!$H$5:$H$504,Invoices!$C$5:$C$504,$A88,Invoices!$F$5:$F$504,"&lt;"&amp;TODAY()))</f>
        <v/>
      </c>
    </row>
    <row r="89" customFormat="false" ht="15" hidden="false" customHeight="false" outlineLevel="0" collapsed="false">
      <c r="A89" s="5"/>
      <c r="B89" s="16" t="str">
        <f aca="false">IF($A89="","",SUMIFS(Invoices!$E$5:$E$504,Invoices!$C$5:$C$504,$A89))</f>
        <v/>
      </c>
      <c r="C89" s="16" t="str">
        <f aca="false">IF($A89="","",SUMIFS(Invoices!$G$5:$G$504,Invoices!$C$5:$C$504,$A89))</f>
        <v/>
      </c>
      <c r="D89" s="16" t="str">
        <f aca="false">IF($A89="","",B89-C89)</f>
        <v/>
      </c>
      <c r="E89" s="16" t="str">
        <f aca="true">IF($A89="","",SUMIFS(Invoices!$H$5:$H$504,Invoices!$C$5:$C$504,$A89,Invoices!$F$5:$F$504,"&lt;"&amp;TODAY()))</f>
        <v/>
      </c>
    </row>
    <row r="90" customFormat="false" ht="15" hidden="false" customHeight="false" outlineLevel="0" collapsed="false">
      <c r="A90" s="5"/>
      <c r="B90" s="16" t="str">
        <f aca="false">IF($A90="","",SUMIFS(Invoices!$E$5:$E$504,Invoices!$C$5:$C$504,$A90))</f>
        <v/>
      </c>
      <c r="C90" s="16" t="str">
        <f aca="false">IF($A90="","",SUMIFS(Invoices!$G$5:$G$504,Invoices!$C$5:$C$504,$A90))</f>
        <v/>
      </c>
      <c r="D90" s="16" t="str">
        <f aca="false">IF($A90="","",B90-C90)</f>
        <v/>
      </c>
      <c r="E90" s="16" t="str">
        <f aca="true">IF($A90="","",SUMIFS(Invoices!$H$5:$H$504,Invoices!$C$5:$C$504,$A90,Invoices!$F$5:$F$504,"&lt;"&amp;TODAY()))</f>
        <v/>
      </c>
    </row>
    <row r="91" customFormat="false" ht="15" hidden="false" customHeight="false" outlineLevel="0" collapsed="false">
      <c r="A91" s="5"/>
      <c r="B91" s="16" t="str">
        <f aca="false">IF($A91="","",SUMIFS(Invoices!$E$5:$E$504,Invoices!$C$5:$C$504,$A91))</f>
        <v/>
      </c>
      <c r="C91" s="16" t="str">
        <f aca="false">IF($A91="","",SUMIFS(Invoices!$G$5:$G$504,Invoices!$C$5:$C$504,$A91))</f>
        <v/>
      </c>
      <c r="D91" s="16" t="str">
        <f aca="false">IF($A91="","",B91-C91)</f>
        <v/>
      </c>
      <c r="E91" s="16" t="str">
        <f aca="true">IF($A91="","",SUMIFS(Invoices!$H$5:$H$504,Invoices!$C$5:$C$504,$A91,Invoices!$F$5:$F$504,"&lt;"&amp;TODAY()))</f>
        <v/>
      </c>
    </row>
    <row r="92" customFormat="false" ht="15" hidden="false" customHeight="false" outlineLevel="0" collapsed="false">
      <c r="A92" s="5"/>
      <c r="B92" s="16" t="str">
        <f aca="false">IF($A92="","",SUMIFS(Invoices!$E$5:$E$504,Invoices!$C$5:$C$504,$A92))</f>
        <v/>
      </c>
      <c r="C92" s="16" t="str">
        <f aca="false">IF($A92="","",SUMIFS(Invoices!$G$5:$G$504,Invoices!$C$5:$C$504,$A92))</f>
        <v/>
      </c>
      <c r="D92" s="16" t="str">
        <f aca="false">IF($A92="","",B92-C92)</f>
        <v/>
      </c>
      <c r="E92" s="16" t="str">
        <f aca="true">IF($A92="","",SUMIFS(Invoices!$H$5:$H$504,Invoices!$C$5:$C$504,$A92,Invoices!$F$5:$F$504,"&lt;"&amp;TODAY()))</f>
        <v/>
      </c>
    </row>
    <row r="93" customFormat="false" ht="15" hidden="false" customHeight="false" outlineLevel="0" collapsed="false">
      <c r="A93" s="5"/>
      <c r="B93" s="16" t="str">
        <f aca="false">IF($A93="","",SUMIFS(Invoices!$E$5:$E$504,Invoices!$C$5:$C$504,$A93))</f>
        <v/>
      </c>
      <c r="C93" s="16" t="str">
        <f aca="false">IF($A93="","",SUMIFS(Invoices!$G$5:$G$504,Invoices!$C$5:$C$504,$A93))</f>
        <v/>
      </c>
      <c r="D93" s="16" t="str">
        <f aca="false">IF($A93="","",B93-C93)</f>
        <v/>
      </c>
      <c r="E93" s="16" t="str">
        <f aca="true">IF($A93="","",SUMIFS(Invoices!$H$5:$H$504,Invoices!$C$5:$C$504,$A93,Invoices!$F$5:$F$504,"&lt;"&amp;TODAY()))</f>
        <v/>
      </c>
    </row>
    <row r="94" customFormat="false" ht="15" hidden="false" customHeight="false" outlineLevel="0" collapsed="false">
      <c r="A94" s="5"/>
      <c r="B94" s="16" t="str">
        <f aca="false">IF($A94="","",SUMIFS(Invoices!$E$5:$E$504,Invoices!$C$5:$C$504,$A94))</f>
        <v/>
      </c>
      <c r="C94" s="16" t="str">
        <f aca="false">IF($A94="","",SUMIFS(Invoices!$G$5:$G$504,Invoices!$C$5:$C$504,$A94))</f>
        <v/>
      </c>
      <c r="D94" s="16" t="str">
        <f aca="false">IF($A94="","",B94-C94)</f>
        <v/>
      </c>
      <c r="E94" s="16" t="str">
        <f aca="true">IF($A94="","",SUMIFS(Invoices!$H$5:$H$504,Invoices!$C$5:$C$504,$A94,Invoices!$F$5:$F$504,"&lt;"&amp;TODAY()))</f>
        <v/>
      </c>
    </row>
    <row r="95" customFormat="false" ht="15" hidden="false" customHeight="false" outlineLevel="0" collapsed="false">
      <c r="A95" s="5"/>
      <c r="B95" s="16" t="str">
        <f aca="false">IF($A95="","",SUMIFS(Invoices!$E$5:$E$504,Invoices!$C$5:$C$504,$A95))</f>
        <v/>
      </c>
      <c r="C95" s="16" t="str">
        <f aca="false">IF($A95="","",SUMIFS(Invoices!$G$5:$G$504,Invoices!$C$5:$C$504,$A95))</f>
        <v/>
      </c>
      <c r="D95" s="16" t="str">
        <f aca="false">IF($A95="","",B95-C95)</f>
        <v/>
      </c>
      <c r="E95" s="16" t="str">
        <f aca="true">IF($A95="","",SUMIFS(Invoices!$H$5:$H$504,Invoices!$C$5:$C$504,$A95,Invoices!$F$5:$F$504,"&lt;"&amp;TODAY()))</f>
        <v/>
      </c>
    </row>
    <row r="96" customFormat="false" ht="15" hidden="false" customHeight="false" outlineLevel="0" collapsed="false">
      <c r="A96" s="5"/>
      <c r="B96" s="16" t="str">
        <f aca="false">IF($A96="","",SUMIFS(Invoices!$E$5:$E$504,Invoices!$C$5:$C$504,$A96))</f>
        <v/>
      </c>
      <c r="C96" s="16" t="str">
        <f aca="false">IF($A96="","",SUMIFS(Invoices!$G$5:$G$504,Invoices!$C$5:$C$504,$A96))</f>
        <v/>
      </c>
      <c r="D96" s="16" t="str">
        <f aca="false">IF($A96="","",B96-C96)</f>
        <v/>
      </c>
      <c r="E96" s="16" t="str">
        <f aca="true">IF($A96="","",SUMIFS(Invoices!$H$5:$H$504,Invoices!$C$5:$C$504,$A96,Invoices!$F$5:$F$504,"&lt;"&amp;TODAY()))</f>
        <v/>
      </c>
    </row>
    <row r="97" customFormat="false" ht="15" hidden="false" customHeight="false" outlineLevel="0" collapsed="false">
      <c r="A97" s="5"/>
      <c r="B97" s="16" t="str">
        <f aca="false">IF($A97="","",SUMIFS(Invoices!$E$5:$E$504,Invoices!$C$5:$C$504,$A97))</f>
        <v/>
      </c>
      <c r="C97" s="16" t="str">
        <f aca="false">IF($A97="","",SUMIFS(Invoices!$G$5:$G$504,Invoices!$C$5:$C$504,$A97))</f>
        <v/>
      </c>
      <c r="D97" s="16" t="str">
        <f aca="false">IF($A97="","",B97-C97)</f>
        <v/>
      </c>
      <c r="E97" s="16" t="str">
        <f aca="true">IF($A97="","",SUMIFS(Invoices!$H$5:$H$504,Invoices!$C$5:$C$504,$A97,Invoices!$F$5:$F$504,"&lt;"&amp;TODAY()))</f>
        <v/>
      </c>
    </row>
    <row r="98" customFormat="false" ht="15" hidden="false" customHeight="false" outlineLevel="0" collapsed="false">
      <c r="A98" s="5"/>
      <c r="B98" s="16" t="str">
        <f aca="false">IF($A98="","",SUMIFS(Invoices!$E$5:$E$504,Invoices!$C$5:$C$504,$A98))</f>
        <v/>
      </c>
      <c r="C98" s="16" t="str">
        <f aca="false">IF($A98="","",SUMIFS(Invoices!$G$5:$G$504,Invoices!$C$5:$C$504,$A98))</f>
        <v/>
      </c>
      <c r="D98" s="16" t="str">
        <f aca="false">IF($A98="","",B98-C98)</f>
        <v/>
      </c>
      <c r="E98" s="16" t="str">
        <f aca="true">IF($A98="","",SUMIFS(Invoices!$H$5:$H$504,Invoices!$C$5:$C$504,$A98,Invoices!$F$5:$F$504,"&lt;"&amp;TODAY()))</f>
        <v/>
      </c>
    </row>
    <row r="99" customFormat="false" ht="15" hidden="false" customHeight="false" outlineLevel="0" collapsed="false">
      <c r="A99" s="5"/>
      <c r="B99" s="16" t="str">
        <f aca="false">IF($A99="","",SUMIFS(Invoices!$E$5:$E$504,Invoices!$C$5:$C$504,$A99))</f>
        <v/>
      </c>
      <c r="C99" s="16" t="str">
        <f aca="false">IF($A99="","",SUMIFS(Invoices!$G$5:$G$504,Invoices!$C$5:$C$504,$A99))</f>
        <v/>
      </c>
      <c r="D99" s="16" t="str">
        <f aca="false">IF($A99="","",B99-C99)</f>
        <v/>
      </c>
      <c r="E99" s="16" t="str">
        <f aca="true">IF($A99="","",SUMIFS(Invoices!$H$5:$H$504,Invoices!$C$5:$C$504,$A99,Invoices!$F$5:$F$504,"&lt;"&amp;TODAY()))</f>
        <v/>
      </c>
    </row>
    <row r="100" customFormat="false" ht="15" hidden="false" customHeight="false" outlineLevel="0" collapsed="false">
      <c r="A100" s="5"/>
      <c r="B100" s="16" t="str">
        <f aca="false">IF($A100="","",SUMIFS(Invoices!$E$5:$E$504,Invoices!$C$5:$C$504,$A100))</f>
        <v/>
      </c>
      <c r="C100" s="16" t="str">
        <f aca="false">IF($A100="","",SUMIFS(Invoices!$G$5:$G$504,Invoices!$C$5:$C$504,$A100))</f>
        <v/>
      </c>
      <c r="D100" s="16" t="str">
        <f aca="false">IF($A100="","",B100-C100)</f>
        <v/>
      </c>
      <c r="E100" s="16" t="str">
        <f aca="true">IF($A100="","",SUMIFS(Invoices!$H$5:$H$504,Invoices!$C$5:$C$504,$A100,Invoices!$F$5:$F$504,"&lt;"&amp;TODAY()))</f>
        <v/>
      </c>
    </row>
    <row r="101" customFormat="false" ht="15" hidden="false" customHeight="false" outlineLevel="0" collapsed="false">
      <c r="A101" s="5"/>
      <c r="B101" s="16" t="str">
        <f aca="false">IF($A101="","",SUMIFS(Invoices!$E$5:$E$504,Invoices!$C$5:$C$504,$A101))</f>
        <v/>
      </c>
      <c r="C101" s="16" t="str">
        <f aca="false">IF($A101="","",SUMIFS(Invoices!$G$5:$G$504,Invoices!$C$5:$C$504,$A101))</f>
        <v/>
      </c>
      <c r="D101" s="16" t="str">
        <f aca="false">IF($A101="","",B101-C101)</f>
        <v/>
      </c>
      <c r="E101" s="16" t="str">
        <f aca="true">IF($A101="","",SUMIFS(Invoices!$H$5:$H$504,Invoices!$C$5:$C$504,$A101,Invoices!$F$5:$F$504,"&lt;"&amp;TODAY()))</f>
        <v/>
      </c>
    </row>
    <row r="102" customFormat="false" ht="15" hidden="false" customHeight="false" outlineLevel="0" collapsed="false">
      <c r="A102" s="5"/>
      <c r="B102" s="16" t="str">
        <f aca="false">IF($A102="","",SUMIFS(Invoices!$E$5:$E$504,Invoices!$C$5:$C$504,$A102))</f>
        <v/>
      </c>
      <c r="C102" s="16" t="str">
        <f aca="false">IF($A102="","",SUMIFS(Invoices!$G$5:$G$504,Invoices!$C$5:$C$504,$A102))</f>
        <v/>
      </c>
      <c r="D102" s="16" t="str">
        <f aca="false">IF($A102="","",B102-C102)</f>
        <v/>
      </c>
      <c r="E102" s="16" t="str">
        <f aca="true">IF($A102="","",SUMIFS(Invoices!$H$5:$H$504,Invoices!$C$5:$C$504,$A102,Invoices!$F$5:$F$504,"&lt;"&amp;TODAY()))</f>
        <v/>
      </c>
    </row>
    <row r="103" customFormat="false" ht="15" hidden="false" customHeight="false" outlineLevel="0" collapsed="false">
      <c r="A103" s="5"/>
      <c r="B103" s="16" t="str">
        <f aca="false">IF($A103="","",SUMIFS(Invoices!$E$5:$E$504,Invoices!$C$5:$C$504,$A103))</f>
        <v/>
      </c>
      <c r="C103" s="16" t="str">
        <f aca="false">IF($A103="","",SUMIFS(Invoices!$G$5:$G$504,Invoices!$C$5:$C$504,$A103))</f>
        <v/>
      </c>
      <c r="D103" s="16" t="str">
        <f aca="false">IF($A103="","",B103-C103)</f>
        <v/>
      </c>
      <c r="E103" s="16" t="str">
        <f aca="true">IF($A103="","",SUMIFS(Invoices!$H$5:$H$504,Invoices!$C$5:$C$504,$A103,Invoices!$F$5:$F$504,"&lt;"&amp;TODAY()))</f>
        <v/>
      </c>
    </row>
    <row r="104" customFormat="false" ht="15" hidden="false" customHeight="false" outlineLevel="0" collapsed="false">
      <c r="A104" s="5"/>
      <c r="B104" s="16" t="str">
        <f aca="false">IF($A104="","",SUMIFS(Invoices!$E$5:$E$504,Invoices!$C$5:$C$504,$A104))</f>
        <v/>
      </c>
      <c r="C104" s="16" t="str">
        <f aca="false">IF($A104="","",SUMIFS(Invoices!$G$5:$G$504,Invoices!$C$5:$C$504,$A104))</f>
        <v/>
      </c>
      <c r="D104" s="16" t="str">
        <f aca="false">IF($A104="","",B104-C104)</f>
        <v/>
      </c>
      <c r="E104" s="16" t="str">
        <f aca="true">IF($A104="","",SUMIFS(Invoices!$H$5:$H$504,Invoices!$C$5:$C$504,$A104,Invoices!$F$5:$F$504,"&lt;"&amp;TODAY()))</f>
        <v/>
      </c>
    </row>
    <row r="105" customFormat="false" ht="15" hidden="false" customHeight="false" outlineLevel="0" collapsed="false">
      <c r="A105" s="5"/>
      <c r="B105" s="16" t="str">
        <f aca="false">IF($A105="","",SUMIFS(Invoices!$E$5:$E$504,Invoices!$C$5:$C$504,$A105))</f>
        <v/>
      </c>
      <c r="C105" s="16" t="str">
        <f aca="false">IF($A105="","",SUMIFS(Invoices!$G$5:$G$504,Invoices!$C$5:$C$504,$A105))</f>
        <v/>
      </c>
      <c r="D105" s="16" t="str">
        <f aca="false">IF($A105="","",B105-C105)</f>
        <v/>
      </c>
      <c r="E105" s="16" t="str">
        <f aca="true">IF($A105="","",SUMIFS(Invoices!$H$5:$H$504,Invoices!$C$5:$C$504,$A105,Invoices!$F$5:$F$504,"&lt;"&amp;TODAY()))</f>
        <v/>
      </c>
    </row>
    <row r="106" customFormat="false" ht="15" hidden="false" customHeight="false" outlineLevel="0" collapsed="false">
      <c r="A106" s="5"/>
      <c r="B106" s="16" t="str">
        <f aca="false">IF($A106="","",SUMIFS(Invoices!$E$5:$E$504,Invoices!$C$5:$C$504,$A106))</f>
        <v/>
      </c>
      <c r="C106" s="16" t="str">
        <f aca="false">IF($A106="","",SUMIFS(Invoices!$G$5:$G$504,Invoices!$C$5:$C$504,$A106))</f>
        <v/>
      </c>
      <c r="D106" s="16" t="str">
        <f aca="false">IF($A106="","",B106-C106)</f>
        <v/>
      </c>
      <c r="E106" s="16" t="str">
        <f aca="true">IF($A106="","",SUMIFS(Invoices!$H$5:$H$504,Invoices!$C$5:$C$504,$A106,Invoices!$F$5:$F$504,"&lt;"&amp;TODAY()))</f>
        <v/>
      </c>
    </row>
  </sheetData>
  <conditionalFormatting sqref="E7:E106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6"/>
    <col collapsed="false" customWidth="true" hidden="false" outlineLevel="0" max="4" min="4" style="0" width="32"/>
    <col collapsed="false" customWidth="true" hidden="false" outlineLevel="0" max="9" min="5" style="0" width="14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0" hidden="false" customHeight="true" outlineLevel="0" collapsed="false">
      <c r="A4" s="18" t="s">
        <v>63</v>
      </c>
      <c r="B4" s="18" t="s">
        <v>64</v>
      </c>
      <c r="C4" s="18" t="s">
        <v>54</v>
      </c>
      <c r="D4" s="18" t="s">
        <v>43</v>
      </c>
      <c r="E4" s="18" t="s">
        <v>65</v>
      </c>
      <c r="F4" s="18" t="s">
        <v>66</v>
      </c>
      <c r="G4" s="18" t="s">
        <v>67</v>
      </c>
      <c r="H4" s="18" t="s">
        <v>47</v>
      </c>
      <c r="I4" s="18" t="s">
        <v>68</v>
      </c>
      <c r="J4" s="18" t="s">
        <v>69</v>
      </c>
    </row>
    <row r="5" customFormat="false" ht="15" hidden="false" customHeight="false" outlineLevel="0" collapsed="false">
      <c r="A5" s="5" t="s">
        <v>50</v>
      </c>
      <c r="B5" s="19" t="n">
        <v>46280</v>
      </c>
      <c r="C5" s="5" t="s">
        <v>60</v>
      </c>
      <c r="D5" s="5" t="s">
        <v>70</v>
      </c>
      <c r="E5" s="4" t="n">
        <v>1200</v>
      </c>
      <c r="F5" s="19" t="n">
        <v>46310</v>
      </c>
      <c r="G5" s="16" t="n">
        <f aca="false">IF($A5="","",SUMIFS('Cash Book'!$D$5:$D$504,'Cash Book'!$G$5:$G$504,$A5))</f>
        <v>500</v>
      </c>
      <c r="H5" s="16" t="n">
        <f aca="false">IF($A5="","",E5-G5)</f>
        <v>700</v>
      </c>
      <c r="I5" s="21" t="str">
        <f aca="true">IF($A5="","",IF(H5&lt;=0,"Paid",IF(F5&lt;TODAY(),"OVERDUE",IF(G5&gt;0,"Part paid","Open"))))</f>
        <v>Part paid</v>
      </c>
      <c r="J5" s="22" t="n">
        <f aca="true">IF($A5="","",IF(AND(H5&gt;0,F5&lt;TODAY()),TODAY()-F5,0))</f>
        <v>0</v>
      </c>
    </row>
    <row r="6" customFormat="false" ht="15" hidden="false" customHeight="false" outlineLevel="0" collapsed="false">
      <c r="A6" s="5"/>
      <c r="B6" s="19"/>
      <c r="C6" s="5"/>
      <c r="D6" s="5"/>
      <c r="E6" s="4"/>
      <c r="F6" s="19"/>
      <c r="G6" s="16" t="str">
        <f aca="false">IF($A6="","",SUMIFS('Cash Book'!$D$5:$D$504,'Cash Book'!$G$5:$G$504,$A6))</f>
        <v/>
      </c>
      <c r="H6" s="16" t="str">
        <f aca="false">IF($A6="","",E6-G6)</f>
        <v/>
      </c>
      <c r="I6" s="21" t="str">
        <f aca="true">IF($A6="","",IF(H6&lt;=0,"Paid",IF(F6&lt;TODAY(),"OVERDUE",IF(G6&gt;0,"Part paid","Open"))))</f>
        <v/>
      </c>
      <c r="J6" s="22" t="str">
        <f aca="true">IF($A6="","",IF(AND(H6&gt;0,F6&lt;TODAY()),TODAY()-F6,0))</f>
        <v/>
      </c>
    </row>
    <row r="7" customFormat="false" ht="15" hidden="false" customHeight="false" outlineLevel="0" collapsed="false">
      <c r="A7" s="5"/>
      <c r="B7" s="19"/>
      <c r="C7" s="5"/>
      <c r="D7" s="5"/>
      <c r="E7" s="4"/>
      <c r="F7" s="19"/>
      <c r="G7" s="16" t="str">
        <f aca="false">IF($A7="","",SUMIFS('Cash Book'!$D$5:$D$504,'Cash Book'!$G$5:$G$504,$A7))</f>
        <v/>
      </c>
      <c r="H7" s="16" t="str">
        <f aca="false">IF($A7="","",E7-G7)</f>
        <v/>
      </c>
      <c r="I7" s="21" t="str">
        <f aca="true">IF($A7="","",IF(H7&lt;=0,"Paid",IF(F7&lt;TODAY(),"OVERDUE",IF(G7&gt;0,"Part paid","Open"))))</f>
        <v/>
      </c>
      <c r="J7" s="22" t="str">
        <f aca="true">IF($A7="","",IF(AND(H7&gt;0,F7&lt;TODAY()),TODAY()-F7,0))</f>
        <v/>
      </c>
    </row>
    <row r="8" customFormat="false" ht="15" hidden="false" customHeight="false" outlineLevel="0" collapsed="false">
      <c r="A8" s="5"/>
      <c r="B8" s="19"/>
      <c r="C8" s="5"/>
      <c r="D8" s="5"/>
      <c r="E8" s="4"/>
      <c r="F8" s="19"/>
      <c r="G8" s="16" t="str">
        <f aca="false">IF($A8="","",SUMIFS('Cash Book'!$D$5:$D$504,'Cash Book'!$G$5:$G$504,$A8))</f>
        <v/>
      </c>
      <c r="H8" s="16" t="str">
        <f aca="false">IF($A8="","",E8-G8)</f>
        <v/>
      </c>
      <c r="I8" s="21" t="str">
        <f aca="true">IF($A8="","",IF(H8&lt;=0,"Paid",IF(F8&lt;TODAY(),"OVERDUE",IF(G8&gt;0,"Part paid","Open"))))</f>
        <v/>
      </c>
      <c r="J8" s="22" t="str">
        <f aca="true">IF($A8="","",IF(AND(H8&gt;0,F8&lt;TODAY()),TODAY()-F8,0))</f>
        <v/>
      </c>
    </row>
    <row r="9" customFormat="false" ht="15" hidden="false" customHeight="false" outlineLevel="0" collapsed="false">
      <c r="A9" s="5"/>
      <c r="B9" s="19"/>
      <c r="C9" s="5"/>
      <c r="D9" s="5"/>
      <c r="E9" s="4"/>
      <c r="F9" s="19"/>
      <c r="G9" s="16" t="str">
        <f aca="false">IF($A9="","",SUMIFS('Cash Book'!$D$5:$D$504,'Cash Book'!$G$5:$G$504,$A9))</f>
        <v/>
      </c>
      <c r="H9" s="16" t="str">
        <f aca="false">IF($A9="","",E9-G9)</f>
        <v/>
      </c>
      <c r="I9" s="21" t="str">
        <f aca="true">IF($A9="","",IF(H9&lt;=0,"Paid",IF(F9&lt;TODAY(),"OVERDUE",IF(G9&gt;0,"Part paid","Open"))))</f>
        <v/>
      </c>
      <c r="J9" s="22" t="str">
        <f aca="true">IF($A9="","",IF(AND(H9&gt;0,F9&lt;TODAY()),TODAY()-F9,0))</f>
        <v/>
      </c>
    </row>
    <row r="10" customFormat="false" ht="15" hidden="false" customHeight="false" outlineLevel="0" collapsed="false">
      <c r="A10" s="5"/>
      <c r="B10" s="19"/>
      <c r="C10" s="5"/>
      <c r="D10" s="5"/>
      <c r="E10" s="4"/>
      <c r="F10" s="19"/>
      <c r="G10" s="16" t="str">
        <f aca="false">IF($A10="","",SUMIFS('Cash Book'!$D$5:$D$504,'Cash Book'!$G$5:$G$504,$A10))</f>
        <v/>
      </c>
      <c r="H10" s="16" t="str">
        <f aca="false">IF($A10="","",E10-G10)</f>
        <v/>
      </c>
      <c r="I10" s="21" t="str">
        <f aca="true">IF($A10="","",IF(H10&lt;=0,"Paid",IF(F10&lt;TODAY(),"OVERDUE",IF(G10&gt;0,"Part paid","Open"))))</f>
        <v/>
      </c>
      <c r="J10" s="22" t="str">
        <f aca="true">IF($A10="","",IF(AND(H10&gt;0,F10&lt;TODAY()),TODAY()-F10,0))</f>
        <v/>
      </c>
    </row>
    <row r="11" customFormat="false" ht="15" hidden="false" customHeight="false" outlineLevel="0" collapsed="false">
      <c r="A11" s="5"/>
      <c r="B11" s="19"/>
      <c r="C11" s="5"/>
      <c r="D11" s="5"/>
      <c r="E11" s="4"/>
      <c r="F11" s="19"/>
      <c r="G11" s="16" t="str">
        <f aca="false">IF($A11="","",SUMIFS('Cash Book'!$D$5:$D$504,'Cash Book'!$G$5:$G$504,$A11))</f>
        <v/>
      </c>
      <c r="H11" s="16" t="str">
        <f aca="false">IF($A11="","",E11-G11)</f>
        <v/>
      </c>
      <c r="I11" s="21" t="str">
        <f aca="true">IF($A11="","",IF(H11&lt;=0,"Paid",IF(F11&lt;TODAY(),"OVERDUE",IF(G11&gt;0,"Part paid","Open"))))</f>
        <v/>
      </c>
      <c r="J11" s="22" t="str">
        <f aca="true">IF($A11="","",IF(AND(H11&gt;0,F11&lt;TODAY()),TODAY()-F11,0))</f>
        <v/>
      </c>
    </row>
    <row r="12" customFormat="false" ht="15" hidden="false" customHeight="false" outlineLevel="0" collapsed="false">
      <c r="A12" s="5"/>
      <c r="B12" s="19"/>
      <c r="C12" s="5"/>
      <c r="D12" s="5"/>
      <c r="E12" s="4"/>
      <c r="F12" s="19"/>
      <c r="G12" s="16" t="str">
        <f aca="false">IF($A12="","",SUMIFS('Cash Book'!$D$5:$D$504,'Cash Book'!$G$5:$G$504,$A12))</f>
        <v/>
      </c>
      <c r="H12" s="16" t="str">
        <f aca="false">IF($A12="","",E12-G12)</f>
        <v/>
      </c>
      <c r="I12" s="21" t="str">
        <f aca="true">IF($A12="","",IF(H12&lt;=0,"Paid",IF(F12&lt;TODAY(),"OVERDUE",IF(G12&gt;0,"Part paid","Open"))))</f>
        <v/>
      </c>
      <c r="J12" s="22" t="str">
        <f aca="true">IF($A12="","",IF(AND(H12&gt;0,F12&lt;TODAY()),TODAY()-F12,0))</f>
        <v/>
      </c>
    </row>
    <row r="13" customFormat="false" ht="15" hidden="false" customHeight="false" outlineLevel="0" collapsed="false">
      <c r="A13" s="5"/>
      <c r="B13" s="19"/>
      <c r="C13" s="5"/>
      <c r="D13" s="5"/>
      <c r="E13" s="4"/>
      <c r="F13" s="19"/>
      <c r="G13" s="16" t="str">
        <f aca="false">IF($A13="","",SUMIFS('Cash Book'!$D$5:$D$504,'Cash Book'!$G$5:$G$504,$A13))</f>
        <v/>
      </c>
      <c r="H13" s="16" t="str">
        <f aca="false">IF($A13="","",E13-G13)</f>
        <v/>
      </c>
      <c r="I13" s="21" t="str">
        <f aca="true">IF($A13="","",IF(H13&lt;=0,"Paid",IF(F13&lt;TODAY(),"OVERDUE",IF(G13&gt;0,"Part paid","Open"))))</f>
        <v/>
      </c>
      <c r="J13" s="22" t="str">
        <f aca="true">IF($A13="","",IF(AND(H13&gt;0,F13&lt;TODAY()),TODAY()-F13,0))</f>
        <v/>
      </c>
    </row>
    <row r="14" customFormat="false" ht="15" hidden="false" customHeight="false" outlineLevel="0" collapsed="false">
      <c r="A14" s="5"/>
      <c r="B14" s="19"/>
      <c r="C14" s="5"/>
      <c r="D14" s="5"/>
      <c r="E14" s="4"/>
      <c r="F14" s="19"/>
      <c r="G14" s="16" t="str">
        <f aca="false">IF($A14="","",SUMIFS('Cash Book'!$D$5:$D$504,'Cash Book'!$G$5:$G$504,$A14))</f>
        <v/>
      </c>
      <c r="H14" s="16" t="str">
        <f aca="false">IF($A14="","",E14-G14)</f>
        <v/>
      </c>
      <c r="I14" s="21" t="str">
        <f aca="true">IF($A14="","",IF(H14&lt;=0,"Paid",IF(F14&lt;TODAY(),"OVERDUE",IF(G14&gt;0,"Part paid","Open"))))</f>
        <v/>
      </c>
      <c r="J14" s="22" t="str">
        <f aca="true">IF($A14="","",IF(AND(H14&gt;0,F14&lt;TODAY()),TODAY()-F14,0))</f>
        <v/>
      </c>
    </row>
    <row r="15" customFormat="false" ht="15" hidden="false" customHeight="false" outlineLevel="0" collapsed="false">
      <c r="A15" s="5"/>
      <c r="B15" s="19"/>
      <c r="C15" s="5"/>
      <c r="D15" s="5"/>
      <c r="E15" s="4"/>
      <c r="F15" s="19"/>
      <c r="G15" s="16" t="str">
        <f aca="false">IF($A15="","",SUMIFS('Cash Book'!$D$5:$D$504,'Cash Book'!$G$5:$G$504,$A15))</f>
        <v/>
      </c>
      <c r="H15" s="16" t="str">
        <f aca="false">IF($A15="","",E15-G15)</f>
        <v/>
      </c>
      <c r="I15" s="21" t="str">
        <f aca="true">IF($A15="","",IF(H15&lt;=0,"Paid",IF(F15&lt;TODAY(),"OVERDUE",IF(G15&gt;0,"Part paid","Open"))))</f>
        <v/>
      </c>
      <c r="J15" s="22" t="str">
        <f aca="true">IF($A15="","",IF(AND(H15&gt;0,F15&lt;TODAY()),TODAY()-F15,0))</f>
        <v/>
      </c>
    </row>
    <row r="16" customFormat="false" ht="15" hidden="false" customHeight="false" outlineLevel="0" collapsed="false">
      <c r="A16" s="5"/>
      <c r="B16" s="19"/>
      <c r="C16" s="5"/>
      <c r="D16" s="5"/>
      <c r="E16" s="4"/>
      <c r="F16" s="19"/>
      <c r="G16" s="16" t="str">
        <f aca="false">IF($A16="","",SUMIFS('Cash Book'!$D$5:$D$504,'Cash Book'!$G$5:$G$504,$A16))</f>
        <v/>
      </c>
      <c r="H16" s="16" t="str">
        <f aca="false">IF($A16="","",E16-G16)</f>
        <v/>
      </c>
      <c r="I16" s="21" t="str">
        <f aca="true">IF($A16="","",IF(H16&lt;=0,"Paid",IF(F16&lt;TODAY(),"OVERDUE",IF(G16&gt;0,"Part paid","Open"))))</f>
        <v/>
      </c>
      <c r="J16" s="22" t="str">
        <f aca="true">IF($A16="","",IF(AND(H16&gt;0,F16&lt;TODAY()),TODAY()-F16,0))</f>
        <v/>
      </c>
    </row>
    <row r="17" customFormat="false" ht="15" hidden="false" customHeight="false" outlineLevel="0" collapsed="false">
      <c r="A17" s="5"/>
      <c r="B17" s="19"/>
      <c r="C17" s="5"/>
      <c r="D17" s="5"/>
      <c r="E17" s="4"/>
      <c r="F17" s="19"/>
      <c r="G17" s="16" t="str">
        <f aca="false">IF($A17="","",SUMIFS('Cash Book'!$D$5:$D$504,'Cash Book'!$G$5:$G$504,$A17))</f>
        <v/>
      </c>
      <c r="H17" s="16" t="str">
        <f aca="false">IF($A17="","",E17-G17)</f>
        <v/>
      </c>
      <c r="I17" s="21" t="str">
        <f aca="true">IF($A17="","",IF(H17&lt;=0,"Paid",IF(F17&lt;TODAY(),"OVERDUE",IF(G17&gt;0,"Part paid","Open"))))</f>
        <v/>
      </c>
      <c r="J17" s="22" t="str">
        <f aca="true">IF($A17="","",IF(AND(H17&gt;0,F17&lt;TODAY()),TODAY()-F17,0))</f>
        <v/>
      </c>
    </row>
    <row r="18" customFormat="false" ht="15" hidden="false" customHeight="false" outlineLevel="0" collapsed="false">
      <c r="A18" s="5"/>
      <c r="B18" s="19"/>
      <c r="C18" s="5"/>
      <c r="D18" s="5"/>
      <c r="E18" s="4"/>
      <c r="F18" s="19"/>
      <c r="G18" s="16" t="str">
        <f aca="false">IF($A18="","",SUMIFS('Cash Book'!$D$5:$D$504,'Cash Book'!$G$5:$G$504,$A18))</f>
        <v/>
      </c>
      <c r="H18" s="16" t="str">
        <f aca="false">IF($A18="","",E18-G18)</f>
        <v/>
      </c>
      <c r="I18" s="21" t="str">
        <f aca="true">IF($A18="","",IF(H18&lt;=0,"Paid",IF(F18&lt;TODAY(),"OVERDUE",IF(G18&gt;0,"Part paid","Open"))))</f>
        <v/>
      </c>
      <c r="J18" s="22" t="str">
        <f aca="true">IF($A18="","",IF(AND(H18&gt;0,F18&lt;TODAY()),TODAY()-F18,0))</f>
        <v/>
      </c>
    </row>
    <row r="19" customFormat="false" ht="15" hidden="false" customHeight="false" outlineLevel="0" collapsed="false">
      <c r="A19" s="5"/>
      <c r="B19" s="19"/>
      <c r="C19" s="5"/>
      <c r="D19" s="5"/>
      <c r="E19" s="4"/>
      <c r="F19" s="19"/>
      <c r="G19" s="16" t="str">
        <f aca="false">IF($A19="","",SUMIFS('Cash Book'!$D$5:$D$504,'Cash Book'!$G$5:$G$504,$A19))</f>
        <v/>
      </c>
      <c r="H19" s="16" t="str">
        <f aca="false">IF($A19="","",E19-G19)</f>
        <v/>
      </c>
      <c r="I19" s="21" t="str">
        <f aca="true">IF($A19="","",IF(H19&lt;=0,"Paid",IF(F19&lt;TODAY(),"OVERDUE",IF(G19&gt;0,"Part paid","Open"))))</f>
        <v/>
      </c>
      <c r="J19" s="22" t="str">
        <f aca="true">IF($A19="","",IF(AND(H19&gt;0,F19&lt;TODAY()),TODAY()-F19,0))</f>
        <v/>
      </c>
    </row>
    <row r="20" customFormat="false" ht="15" hidden="false" customHeight="false" outlineLevel="0" collapsed="false">
      <c r="A20" s="5"/>
      <c r="B20" s="19"/>
      <c r="C20" s="5"/>
      <c r="D20" s="5"/>
      <c r="E20" s="4"/>
      <c r="F20" s="19"/>
      <c r="G20" s="16" t="str">
        <f aca="false">IF($A20="","",SUMIFS('Cash Book'!$D$5:$D$504,'Cash Book'!$G$5:$G$504,$A20))</f>
        <v/>
      </c>
      <c r="H20" s="16" t="str">
        <f aca="false">IF($A20="","",E20-G20)</f>
        <v/>
      </c>
      <c r="I20" s="21" t="str">
        <f aca="true">IF($A20="","",IF(H20&lt;=0,"Paid",IF(F20&lt;TODAY(),"OVERDUE",IF(G20&gt;0,"Part paid","Open"))))</f>
        <v/>
      </c>
      <c r="J20" s="22" t="str">
        <f aca="true">IF($A20="","",IF(AND(H20&gt;0,F20&lt;TODAY()),TODAY()-F20,0))</f>
        <v/>
      </c>
    </row>
    <row r="21" customFormat="false" ht="15" hidden="false" customHeight="false" outlineLevel="0" collapsed="false">
      <c r="A21" s="5"/>
      <c r="B21" s="19"/>
      <c r="C21" s="5"/>
      <c r="D21" s="5"/>
      <c r="E21" s="4"/>
      <c r="F21" s="19"/>
      <c r="G21" s="16" t="str">
        <f aca="false">IF($A21="","",SUMIFS('Cash Book'!$D$5:$D$504,'Cash Book'!$G$5:$G$504,$A21))</f>
        <v/>
      </c>
      <c r="H21" s="16" t="str">
        <f aca="false">IF($A21="","",E21-G21)</f>
        <v/>
      </c>
      <c r="I21" s="21" t="str">
        <f aca="true">IF($A21="","",IF(H21&lt;=0,"Paid",IF(F21&lt;TODAY(),"OVERDUE",IF(G21&gt;0,"Part paid","Open"))))</f>
        <v/>
      </c>
      <c r="J21" s="22" t="str">
        <f aca="true">IF($A21="","",IF(AND(H21&gt;0,F21&lt;TODAY()),TODAY()-F21,0))</f>
        <v/>
      </c>
    </row>
    <row r="22" customFormat="false" ht="15" hidden="false" customHeight="false" outlineLevel="0" collapsed="false">
      <c r="A22" s="5"/>
      <c r="B22" s="19"/>
      <c r="C22" s="5"/>
      <c r="D22" s="5"/>
      <c r="E22" s="4"/>
      <c r="F22" s="19"/>
      <c r="G22" s="16" t="str">
        <f aca="false">IF($A22="","",SUMIFS('Cash Book'!$D$5:$D$504,'Cash Book'!$G$5:$G$504,$A22))</f>
        <v/>
      </c>
      <c r="H22" s="16" t="str">
        <f aca="false">IF($A22="","",E22-G22)</f>
        <v/>
      </c>
      <c r="I22" s="21" t="str">
        <f aca="true">IF($A22="","",IF(H22&lt;=0,"Paid",IF(F22&lt;TODAY(),"OVERDUE",IF(G22&gt;0,"Part paid","Open"))))</f>
        <v/>
      </c>
      <c r="J22" s="22" t="str">
        <f aca="true">IF($A22="","",IF(AND(H22&gt;0,F22&lt;TODAY()),TODAY()-F22,0))</f>
        <v/>
      </c>
    </row>
    <row r="23" customFormat="false" ht="15" hidden="false" customHeight="false" outlineLevel="0" collapsed="false">
      <c r="A23" s="5"/>
      <c r="B23" s="19"/>
      <c r="C23" s="5"/>
      <c r="D23" s="5"/>
      <c r="E23" s="4"/>
      <c r="F23" s="19"/>
      <c r="G23" s="16" t="str">
        <f aca="false">IF($A23="","",SUMIFS('Cash Book'!$D$5:$D$504,'Cash Book'!$G$5:$G$504,$A23))</f>
        <v/>
      </c>
      <c r="H23" s="16" t="str">
        <f aca="false">IF($A23="","",E23-G23)</f>
        <v/>
      </c>
      <c r="I23" s="21" t="str">
        <f aca="true">IF($A23="","",IF(H23&lt;=0,"Paid",IF(F23&lt;TODAY(),"OVERDUE",IF(G23&gt;0,"Part paid","Open"))))</f>
        <v/>
      </c>
      <c r="J23" s="22" t="str">
        <f aca="true">IF($A23="","",IF(AND(H23&gt;0,F23&lt;TODAY()),TODAY()-F23,0))</f>
        <v/>
      </c>
    </row>
    <row r="24" customFormat="false" ht="15" hidden="false" customHeight="false" outlineLevel="0" collapsed="false">
      <c r="A24" s="5"/>
      <c r="B24" s="19"/>
      <c r="C24" s="5"/>
      <c r="D24" s="5"/>
      <c r="E24" s="4"/>
      <c r="F24" s="19"/>
      <c r="G24" s="16" t="str">
        <f aca="false">IF($A24="","",SUMIFS('Cash Book'!$D$5:$D$504,'Cash Book'!$G$5:$G$504,$A24))</f>
        <v/>
      </c>
      <c r="H24" s="16" t="str">
        <f aca="false">IF($A24="","",E24-G24)</f>
        <v/>
      </c>
      <c r="I24" s="21" t="str">
        <f aca="true">IF($A24="","",IF(H24&lt;=0,"Paid",IF(F24&lt;TODAY(),"OVERDUE",IF(G24&gt;0,"Part paid","Open"))))</f>
        <v/>
      </c>
      <c r="J24" s="22" t="str">
        <f aca="true">IF($A24="","",IF(AND(H24&gt;0,F24&lt;TODAY()),TODAY()-F24,0))</f>
        <v/>
      </c>
    </row>
    <row r="25" customFormat="false" ht="15" hidden="false" customHeight="false" outlineLevel="0" collapsed="false">
      <c r="A25" s="5"/>
      <c r="B25" s="19"/>
      <c r="C25" s="5"/>
      <c r="D25" s="5"/>
      <c r="E25" s="4"/>
      <c r="F25" s="19"/>
      <c r="G25" s="16" t="str">
        <f aca="false">IF($A25="","",SUMIFS('Cash Book'!$D$5:$D$504,'Cash Book'!$G$5:$G$504,$A25))</f>
        <v/>
      </c>
      <c r="H25" s="16" t="str">
        <f aca="false">IF($A25="","",E25-G25)</f>
        <v/>
      </c>
      <c r="I25" s="21" t="str">
        <f aca="true">IF($A25="","",IF(H25&lt;=0,"Paid",IF(F25&lt;TODAY(),"OVERDUE",IF(G25&gt;0,"Part paid","Open"))))</f>
        <v/>
      </c>
      <c r="J25" s="22" t="str">
        <f aca="true">IF($A25="","",IF(AND(H25&gt;0,F25&lt;TODAY()),TODAY()-F25,0))</f>
        <v/>
      </c>
    </row>
    <row r="26" customFormat="false" ht="15" hidden="false" customHeight="false" outlineLevel="0" collapsed="false">
      <c r="A26" s="5"/>
      <c r="B26" s="19"/>
      <c r="C26" s="5"/>
      <c r="D26" s="5"/>
      <c r="E26" s="4"/>
      <c r="F26" s="19"/>
      <c r="G26" s="16" t="str">
        <f aca="false">IF($A26="","",SUMIFS('Cash Book'!$D$5:$D$504,'Cash Book'!$G$5:$G$504,$A26))</f>
        <v/>
      </c>
      <c r="H26" s="16" t="str">
        <f aca="false">IF($A26="","",E26-G26)</f>
        <v/>
      </c>
      <c r="I26" s="21" t="str">
        <f aca="true">IF($A26="","",IF(H26&lt;=0,"Paid",IF(F26&lt;TODAY(),"OVERDUE",IF(G26&gt;0,"Part paid","Open"))))</f>
        <v/>
      </c>
      <c r="J26" s="22" t="str">
        <f aca="true">IF($A26="","",IF(AND(H26&gt;0,F26&lt;TODAY()),TODAY()-F26,0))</f>
        <v/>
      </c>
    </row>
    <row r="27" customFormat="false" ht="15" hidden="false" customHeight="false" outlineLevel="0" collapsed="false">
      <c r="A27" s="5"/>
      <c r="B27" s="19"/>
      <c r="C27" s="5"/>
      <c r="D27" s="5"/>
      <c r="E27" s="4"/>
      <c r="F27" s="19"/>
      <c r="G27" s="16" t="str">
        <f aca="false">IF($A27="","",SUMIFS('Cash Book'!$D$5:$D$504,'Cash Book'!$G$5:$G$504,$A27))</f>
        <v/>
      </c>
      <c r="H27" s="16" t="str">
        <f aca="false">IF($A27="","",E27-G27)</f>
        <v/>
      </c>
      <c r="I27" s="21" t="str">
        <f aca="true">IF($A27="","",IF(H27&lt;=0,"Paid",IF(F27&lt;TODAY(),"OVERDUE",IF(G27&gt;0,"Part paid","Open"))))</f>
        <v/>
      </c>
      <c r="J27" s="22" t="str">
        <f aca="true">IF($A27="","",IF(AND(H27&gt;0,F27&lt;TODAY()),TODAY()-F27,0))</f>
        <v/>
      </c>
    </row>
    <row r="28" customFormat="false" ht="15" hidden="false" customHeight="false" outlineLevel="0" collapsed="false">
      <c r="A28" s="5"/>
      <c r="B28" s="19"/>
      <c r="C28" s="5"/>
      <c r="D28" s="5"/>
      <c r="E28" s="4"/>
      <c r="F28" s="19"/>
      <c r="G28" s="16" t="str">
        <f aca="false">IF($A28="","",SUMIFS('Cash Book'!$D$5:$D$504,'Cash Book'!$G$5:$G$504,$A28))</f>
        <v/>
      </c>
      <c r="H28" s="16" t="str">
        <f aca="false">IF($A28="","",E28-G28)</f>
        <v/>
      </c>
      <c r="I28" s="21" t="str">
        <f aca="true">IF($A28="","",IF(H28&lt;=0,"Paid",IF(F28&lt;TODAY(),"OVERDUE",IF(G28&gt;0,"Part paid","Open"))))</f>
        <v/>
      </c>
      <c r="J28" s="22" t="str">
        <f aca="true">IF($A28="","",IF(AND(H28&gt;0,F28&lt;TODAY()),TODAY()-F28,0))</f>
        <v/>
      </c>
    </row>
    <row r="29" customFormat="false" ht="15" hidden="false" customHeight="false" outlineLevel="0" collapsed="false">
      <c r="A29" s="5"/>
      <c r="B29" s="19"/>
      <c r="C29" s="5"/>
      <c r="D29" s="5"/>
      <c r="E29" s="4"/>
      <c r="F29" s="19"/>
      <c r="G29" s="16" t="str">
        <f aca="false">IF($A29="","",SUMIFS('Cash Book'!$D$5:$D$504,'Cash Book'!$G$5:$G$504,$A29))</f>
        <v/>
      </c>
      <c r="H29" s="16" t="str">
        <f aca="false">IF($A29="","",E29-G29)</f>
        <v/>
      </c>
      <c r="I29" s="21" t="str">
        <f aca="true">IF($A29="","",IF(H29&lt;=0,"Paid",IF(F29&lt;TODAY(),"OVERDUE",IF(G29&gt;0,"Part paid","Open"))))</f>
        <v/>
      </c>
      <c r="J29" s="22" t="str">
        <f aca="true">IF($A29="","",IF(AND(H29&gt;0,F29&lt;TODAY()),TODAY()-F29,0))</f>
        <v/>
      </c>
    </row>
    <row r="30" customFormat="false" ht="15" hidden="false" customHeight="false" outlineLevel="0" collapsed="false">
      <c r="A30" s="5"/>
      <c r="B30" s="19"/>
      <c r="C30" s="5"/>
      <c r="D30" s="5"/>
      <c r="E30" s="4"/>
      <c r="F30" s="19"/>
      <c r="G30" s="16" t="str">
        <f aca="false">IF($A30="","",SUMIFS('Cash Book'!$D$5:$D$504,'Cash Book'!$G$5:$G$504,$A30))</f>
        <v/>
      </c>
      <c r="H30" s="16" t="str">
        <f aca="false">IF($A30="","",E30-G30)</f>
        <v/>
      </c>
      <c r="I30" s="21" t="str">
        <f aca="true">IF($A30="","",IF(H30&lt;=0,"Paid",IF(F30&lt;TODAY(),"OVERDUE",IF(G30&gt;0,"Part paid","Open"))))</f>
        <v/>
      </c>
      <c r="J30" s="22" t="str">
        <f aca="true">IF($A30="","",IF(AND(H30&gt;0,F30&lt;TODAY()),TODAY()-F30,0))</f>
        <v/>
      </c>
    </row>
    <row r="31" customFormat="false" ht="15" hidden="false" customHeight="false" outlineLevel="0" collapsed="false">
      <c r="A31" s="5"/>
      <c r="B31" s="19"/>
      <c r="C31" s="5"/>
      <c r="D31" s="5"/>
      <c r="E31" s="4"/>
      <c r="F31" s="19"/>
      <c r="G31" s="16" t="str">
        <f aca="false">IF($A31="","",SUMIFS('Cash Book'!$D$5:$D$504,'Cash Book'!$G$5:$G$504,$A31))</f>
        <v/>
      </c>
      <c r="H31" s="16" t="str">
        <f aca="false">IF($A31="","",E31-G31)</f>
        <v/>
      </c>
      <c r="I31" s="21" t="str">
        <f aca="true">IF($A31="","",IF(H31&lt;=0,"Paid",IF(F31&lt;TODAY(),"OVERDUE",IF(G31&gt;0,"Part paid","Open"))))</f>
        <v/>
      </c>
      <c r="J31" s="22" t="str">
        <f aca="true">IF($A31="","",IF(AND(H31&gt;0,F31&lt;TODAY()),TODAY()-F31,0))</f>
        <v/>
      </c>
    </row>
    <row r="32" customFormat="false" ht="15" hidden="false" customHeight="false" outlineLevel="0" collapsed="false">
      <c r="A32" s="5"/>
      <c r="B32" s="19"/>
      <c r="C32" s="5"/>
      <c r="D32" s="5"/>
      <c r="E32" s="4"/>
      <c r="F32" s="19"/>
      <c r="G32" s="16" t="str">
        <f aca="false">IF($A32="","",SUMIFS('Cash Book'!$D$5:$D$504,'Cash Book'!$G$5:$G$504,$A32))</f>
        <v/>
      </c>
      <c r="H32" s="16" t="str">
        <f aca="false">IF($A32="","",E32-G32)</f>
        <v/>
      </c>
      <c r="I32" s="21" t="str">
        <f aca="true">IF($A32="","",IF(H32&lt;=0,"Paid",IF(F32&lt;TODAY(),"OVERDUE",IF(G32&gt;0,"Part paid","Open"))))</f>
        <v/>
      </c>
      <c r="J32" s="22" t="str">
        <f aca="true">IF($A32="","",IF(AND(H32&gt;0,F32&lt;TODAY()),TODAY()-F32,0))</f>
        <v/>
      </c>
    </row>
    <row r="33" customFormat="false" ht="15" hidden="false" customHeight="false" outlineLevel="0" collapsed="false">
      <c r="A33" s="5"/>
      <c r="B33" s="19"/>
      <c r="C33" s="5"/>
      <c r="D33" s="5"/>
      <c r="E33" s="4"/>
      <c r="F33" s="19"/>
      <c r="G33" s="16" t="str">
        <f aca="false">IF($A33="","",SUMIFS('Cash Book'!$D$5:$D$504,'Cash Book'!$G$5:$G$504,$A33))</f>
        <v/>
      </c>
      <c r="H33" s="16" t="str">
        <f aca="false">IF($A33="","",E33-G33)</f>
        <v/>
      </c>
      <c r="I33" s="21" t="str">
        <f aca="true">IF($A33="","",IF(H33&lt;=0,"Paid",IF(F33&lt;TODAY(),"OVERDUE",IF(G33&gt;0,"Part paid","Open"))))</f>
        <v/>
      </c>
      <c r="J33" s="22" t="str">
        <f aca="true">IF($A33="","",IF(AND(H33&gt;0,F33&lt;TODAY()),TODAY()-F33,0))</f>
        <v/>
      </c>
    </row>
    <row r="34" customFormat="false" ht="15" hidden="false" customHeight="false" outlineLevel="0" collapsed="false">
      <c r="A34" s="5"/>
      <c r="B34" s="19"/>
      <c r="C34" s="5"/>
      <c r="D34" s="5"/>
      <c r="E34" s="4"/>
      <c r="F34" s="19"/>
      <c r="G34" s="16" t="str">
        <f aca="false">IF($A34="","",SUMIFS('Cash Book'!$D$5:$D$504,'Cash Book'!$G$5:$G$504,$A34))</f>
        <v/>
      </c>
      <c r="H34" s="16" t="str">
        <f aca="false">IF($A34="","",E34-G34)</f>
        <v/>
      </c>
      <c r="I34" s="21" t="str">
        <f aca="true">IF($A34="","",IF(H34&lt;=0,"Paid",IF(F34&lt;TODAY(),"OVERDUE",IF(G34&gt;0,"Part paid","Open"))))</f>
        <v/>
      </c>
      <c r="J34" s="22" t="str">
        <f aca="true">IF($A34="","",IF(AND(H34&gt;0,F34&lt;TODAY()),TODAY()-F34,0))</f>
        <v/>
      </c>
    </row>
    <row r="35" customFormat="false" ht="15" hidden="false" customHeight="false" outlineLevel="0" collapsed="false">
      <c r="A35" s="5"/>
      <c r="B35" s="19"/>
      <c r="C35" s="5"/>
      <c r="D35" s="5"/>
      <c r="E35" s="4"/>
      <c r="F35" s="19"/>
      <c r="G35" s="16" t="str">
        <f aca="false">IF($A35="","",SUMIFS('Cash Book'!$D$5:$D$504,'Cash Book'!$G$5:$G$504,$A35))</f>
        <v/>
      </c>
      <c r="H35" s="16" t="str">
        <f aca="false">IF($A35="","",E35-G35)</f>
        <v/>
      </c>
      <c r="I35" s="21" t="str">
        <f aca="true">IF($A35="","",IF(H35&lt;=0,"Paid",IF(F35&lt;TODAY(),"OVERDUE",IF(G35&gt;0,"Part paid","Open"))))</f>
        <v/>
      </c>
      <c r="J35" s="22" t="str">
        <f aca="true">IF($A35="","",IF(AND(H35&gt;0,F35&lt;TODAY()),TODAY()-F35,0))</f>
        <v/>
      </c>
    </row>
    <row r="36" customFormat="false" ht="15" hidden="false" customHeight="false" outlineLevel="0" collapsed="false">
      <c r="A36" s="5"/>
      <c r="B36" s="19"/>
      <c r="C36" s="5"/>
      <c r="D36" s="5"/>
      <c r="E36" s="4"/>
      <c r="F36" s="19"/>
      <c r="G36" s="16" t="str">
        <f aca="false">IF($A36="","",SUMIFS('Cash Book'!$D$5:$D$504,'Cash Book'!$G$5:$G$504,$A36))</f>
        <v/>
      </c>
      <c r="H36" s="16" t="str">
        <f aca="false">IF($A36="","",E36-G36)</f>
        <v/>
      </c>
      <c r="I36" s="21" t="str">
        <f aca="true">IF($A36="","",IF(H36&lt;=0,"Paid",IF(F36&lt;TODAY(),"OVERDUE",IF(G36&gt;0,"Part paid","Open"))))</f>
        <v/>
      </c>
      <c r="J36" s="22" t="str">
        <f aca="true">IF($A36="","",IF(AND(H36&gt;0,F36&lt;TODAY()),TODAY()-F36,0))</f>
        <v/>
      </c>
    </row>
    <row r="37" customFormat="false" ht="15" hidden="false" customHeight="false" outlineLevel="0" collapsed="false">
      <c r="A37" s="5"/>
      <c r="B37" s="19"/>
      <c r="C37" s="5"/>
      <c r="D37" s="5"/>
      <c r="E37" s="4"/>
      <c r="F37" s="19"/>
      <c r="G37" s="16" t="str">
        <f aca="false">IF($A37="","",SUMIFS('Cash Book'!$D$5:$D$504,'Cash Book'!$G$5:$G$504,$A37))</f>
        <v/>
      </c>
      <c r="H37" s="16" t="str">
        <f aca="false">IF($A37="","",E37-G37)</f>
        <v/>
      </c>
      <c r="I37" s="21" t="str">
        <f aca="true">IF($A37="","",IF(H37&lt;=0,"Paid",IF(F37&lt;TODAY(),"OVERDUE",IF(G37&gt;0,"Part paid","Open"))))</f>
        <v/>
      </c>
      <c r="J37" s="22" t="str">
        <f aca="true">IF($A37="","",IF(AND(H37&gt;0,F37&lt;TODAY()),TODAY()-F37,0))</f>
        <v/>
      </c>
    </row>
    <row r="38" customFormat="false" ht="15" hidden="false" customHeight="false" outlineLevel="0" collapsed="false">
      <c r="A38" s="5"/>
      <c r="B38" s="19"/>
      <c r="C38" s="5"/>
      <c r="D38" s="5"/>
      <c r="E38" s="4"/>
      <c r="F38" s="19"/>
      <c r="G38" s="16" t="str">
        <f aca="false">IF($A38="","",SUMIFS('Cash Book'!$D$5:$D$504,'Cash Book'!$G$5:$G$504,$A38))</f>
        <v/>
      </c>
      <c r="H38" s="16" t="str">
        <f aca="false">IF($A38="","",E38-G38)</f>
        <v/>
      </c>
      <c r="I38" s="21" t="str">
        <f aca="true">IF($A38="","",IF(H38&lt;=0,"Paid",IF(F38&lt;TODAY(),"OVERDUE",IF(G38&gt;0,"Part paid","Open"))))</f>
        <v/>
      </c>
      <c r="J38" s="22" t="str">
        <f aca="true">IF($A38="","",IF(AND(H38&gt;0,F38&lt;TODAY()),TODAY()-F38,0))</f>
        <v/>
      </c>
    </row>
    <row r="39" customFormat="false" ht="15" hidden="false" customHeight="false" outlineLevel="0" collapsed="false">
      <c r="A39" s="5"/>
      <c r="B39" s="19"/>
      <c r="C39" s="5"/>
      <c r="D39" s="5"/>
      <c r="E39" s="4"/>
      <c r="F39" s="19"/>
      <c r="G39" s="16" t="str">
        <f aca="false">IF($A39="","",SUMIFS('Cash Book'!$D$5:$D$504,'Cash Book'!$G$5:$G$504,$A39))</f>
        <v/>
      </c>
      <c r="H39" s="16" t="str">
        <f aca="false">IF($A39="","",E39-G39)</f>
        <v/>
      </c>
      <c r="I39" s="21" t="str">
        <f aca="true">IF($A39="","",IF(H39&lt;=0,"Paid",IF(F39&lt;TODAY(),"OVERDUE",IF(G39&gt;0,"Part paid","Open"))))</f>
        <v/>
      </c>
      <c r="J39" s="22" t="str">
        <f aca="true">IF($A39="","",IF(AND(H39&gt;0,F39&lt;TODAY()),TODAY()-F39,0))</f>
        <v/>
      </c>
    </row>
    <row r="40" customFormat="false" ht="15" hidden="false" customHeight="false" outlineLevel="0" collapsed="false">
      <c r="A40" s="5"/>
      <c r="B40" s="19"/>
      <c r="C40" s="5"/>
      <c r="D40" s="5"/>
      <c r="E40" s="4"/>
      <c r="F40" s="19"/>
      <c r="G40" s="16" t="str">
        <f aca="false">IF($A40="","",SUMIFS('Cash Book'!$D$5:$D$504,'Cash Book'!$G$5:$G$504,$A40))</f>
        <v/>
      </c>
      <c r="H40" s="16" t="str">
        <f aca="false">IF($A40="","",E40-G40)</f>
        <v/>
      </c>
      <c r="I40" s="21" t="str">
        <f aca="true">IF($A40="","",IF(H40&lt;=0,"Paid",IF(F40&lt;TODAY(),"OVERDUE",IF(G40&gt;0,"Part paid","Open"))))</f>
        <v/>
      </c>
      <c r="J40" s="22" t="str">
        <f aca="true">IF($A40="","",IF(AND(H40&gt;0,F40&lt;TODAY()),TODAY()-F40,0))</f>
        <v/>
      </c>
    </row>
    <row r="41" customFormat="false" ht="15" hidden="false" customHeight="false" outlineLevel="0" collapsed="false">
      <c r="A41" s="5"/>
      <c r="B41" s="19"/>
      <c r="C41" s="5"/>
      <c r="D41" s="5"/>
      <c r="E41" s="4"/>
      <c r="F41" s="19"/>
      <c r="G41" s="16" t="str">
        <f aca="false">IF($A41="","",SUMIFS('Cash Book'!$D$5:$D$504,'Cash Book'!$G$5:$G$504,$A41))</f>
        <v/>
      </c>
      <c r="H41" s="16" t="str">
        <f aca="false">IF($A41="","",E41-G41)</f>
        <v/>
      </c>
      <c r="I41" s="21" t="str">
        <f aca="true">IF($A41="","",IF(H41&lt;=0,"Paid",IF(F41&lt;TODAY(),"OVERDUE",IF(G41&gt;0,"Part paid","Open"))))</f>
        <v/>
      </c>
      <c r="J41" s="22" t="str">
        <f aca="true">IF($A41="","",IF(AND(H41&gt;0,F41&lt;TODAY()),TODAY()-F41,0))</f>
        <v/>
      </c>
    </row>
    <row r="42" customFormat="false" ht="15" hidden="false" customHeight="false" outlineLevel="0" collapsed="false">
      <c r="A42" s="5"/>
      <c r="B42" s="19"/>
      <c r="C42" s="5"/>
      <c r="D42" s="5"/>
      <c r="E42" s="4"/>
      <c r="F42" s="19"/>
      <c r="G42" s="16" t="str">
        <f aca="false">IF($A42="","",SUMIFS('Cash Book'!$D$5:$D$504,'Cash Book'!$G$5:$G$504,$A42))</f>
        <v/>
      </c>
      <c r="H42" s="16" t="str">
        <f aca="false">IF($A42="","",E42-G42)</f>
        <v/>
      </c>
      <c r="I42" s="21" t="str">
        <f aca="true">IF($A42="","",IF(H42&lt;=0,"Paid",IF(F42&lt;TODAY(),"OVERDUE",IF(G42&gt;0,"Part paid","Open"))))</f>
        <v/>
      </c>
      <c r="J42" s="22" t="str">
        <f aca="true">IF($A42="","",IF(AND(H42&gt;0,F42&lt;TODAY()),TODAY()-F42,0))</f>
        <v/>
      </c>
    </row>
    <row r="43" customFormat="false" ht="15" hidden="false" customHeight="false" outlineLevel="0" collapsed="false">
      <c r="A43" s="5"/>
      <c r="B43" s="19"/>
      <c r="C43" s="5"/>
      <c r="D43" s="5"/>
      <c r="E43" s="4"/>
      <c r="F43" s="19"/>
      <c r="G43" s="16" t="str">
        <f aca="false">IF($A43="","",SUMIFS('Cash Book'!$D$5:$D$504,'Cash Book'!$G$5:$G$504,$A43))</f>
        <v/>
      </c>
      <c r="H43" s="16" t="str">
        <f aca="false">IF($A43="","",E43-G43)</f>
        <v/>
      </c>
      <c r="I43" s="21" t="str">
        <f aca="true">IF($A43="","",IF(H43&lt;=0,"Paid",IF(F43&lt;TODAY(),"OVERDUE",IF(G43&gt;0,"Part paid","Open"))))</f>
        <v/>
      </c>
      <c r="J43" s="22" t="str">
        <f aca="true">IF($A43="","",IF(AND(H43&gt;0,F43&lt;TODAY()),TODAY()-F43,0))</f>
        <v/>
      </c>
    </row>
    <row r="44" customFormat="false" ht="15" hidden="false" customHeight="false" outlineLevel="0" collapsed="false">
      <c r="A44" s="5"/>
      <c r="B44" s="19"/>
      <c r="C44" s="5"/>
      <c r="D44" s="5"/>
      <c r="E44" s="4"/>
      <c r="F44" s="19"/>
      <c r="G44" s="16" t="str">
        <f aca="false">IF($A44="","",SUMIFS('Cash Book'!$D$5:$D$504,'Cash Book'!$G$5:$G$504,$A44))</f>
        <v/>
      </c>
      <c r="H44" s="16" t="str">
        <f aca="false">IF($A44="","",E44-G44)</f>
        <v/>
      </c>
      <c r="I44" s="21" t="str">
        <f aca="true">IF($A44="","",IF(H44&lt;=0,"Paid",IF(F44&lt;TODAY(),"OVERDUE",IF(G44&gt;0,"Part paid","Open"))))</f>
        <v/>
      </c>
      <c r="J44" s="22" t="str">
        <f aca="true">IF($A44="","",IF(AND(H44&gt;0,F44&lt;TODAY()),TODAY()-F44,0))</f>
        <v/>
      </c>
    </row>
    <row r="45" customFormat="false" ht="15" hidden="false" customHeight="false" outlineLevel="0" collapsed="false">
      <c r="A45" s="5"/>
      <c r="B45" s="19"/>
      <c r="C45" s="5"/>
      <c r="D45" s="5"/>
      <c r="E45" s="4"/>
      <c r="F45" s="19"/>
      <c r="G45" s="16" t="str">
        <f aca="false">IF($A45="","",SUMIFS('Cash Book'!$D$5:$D$504,'Cash Book'!$G$5:$G$504,$A45))</f>
        <v/>
      </c>
      <c r="H45" s="16" t="str">
        <f aca="false">IF($A45="","",E45-G45)</f>
        <v/>
      </c>
      <c r="I45" s="21" t="str">
        <f aca="true">IF($A45="","",IF(H45&lt;=0,"Paid",IF(F45&lt;TODAY(),"OVERDUE",IF(G45&gt;0,"Part paid","Open"))))</f>
        <v/>
      </c>
      <c r="J45" s="22" t="str">
        <f aca="true">IF($A45="","",IF(AND(H45&gt;0,F45&lt;TODAY()),TODAY()-F45,0))</f>
        <v/>
      </c>
    </row>
    <row r="46" customFormat="false" ht="15" hidden="false" customHeight="false" outlineLevel="0" collapsed="false">
      <c r="A46" s="5"/>
      <c r="B46" s="19"/>
      <c r="C46" s="5"/>
      <c r="D46" s="5"/>
      <c r="E46" s="4"/>
      <c r="F46" s="19"/>
      <c r="G46" s="16" t="str">
        <f aca="false">IF($A46="","",SUMIFS('Cash Book'!$D$5:$D$504,'Cash Book'!$G$5:$G$504,$A46))</f>
        <v/>
      </c>
      <c r="H46" s="16" t="str">
        <f aca="false">IF($A46="","",E46-G46)</f>
        <v/>
      </c>
      <c r="I46" s="21" t="str">
        <f aca="true">IF($A46="","",IF(H46&lt;=0,"Paid",IF(F46&lt;TODAY(),"OVERDUE",IF(G46&gt;0,"Part paid","Open"))))</f>
        <v/>
      </c>
      <c r="J46" s="22" t="str">
        <f aca="true">IF($A46="","",IF(AND(H46&gt;0,F46&lt;TODAY()),TODAY()-F46,0))</f>
        <v/>
      </c>
    </row>
    <row r="47" customFormat="false" ht="15" hidden="false" customHeight="false" outlineLevel="0" collapsed="false">
      <c r="A47" s="5"/>
      <c r="B47" s="19"/>
      <c r="C47" s="5"/>
      <c r="D47" s="5"/>
      <c r="E47" s="4"/>
      <c r="F47" s="19"/>
      <c r="G47" s="16" t="str">
        <f aca="false">IF($A47="","",SUMIFS('Cash Book'!$D$5:$D$504,'Cash Book'!$G$5:$G$504,$A47))</f>
        <v/>
      </c>
      <c r="H47" s="16" t="str">
        <f aca="false">IF($A47="","",E47-G47)</f>
        <v/>
      </c>
      <c r="I47" s="21" t="str">
        <f aca="true">IF($A47="","",IF(H47&lt;=0,"Paid",IF(F47&lt;TODAY(),"OVERDUE",IF(G47&gt;0,"Part paid","Open"))))</f>
        <v/>
      </c>
      <c r="J47" s="22" t="str">
        <f aca="true">IF($A47="","",IF(AND(H47&gt;0,F47&lt;TODAY()),TODAY()-F47,0))</f>
        <v/>
      </c>
    </row>
    <row r="48" customFormat="false" ht="15" hidden="false" customHeight="false" outlineLevel="0" collapsed="false">
      <c r="A48" s="5"/>
      <c r="B48" s="19"/>
      <c r="C48" s="5"/>
      <c r="D48" s="5"/>
      <c r="E48" s="4"/>
      <c r="F48" s="19"/>
      <c r="G48" s="16" t="str">
        <f aca="false">IF($A48="","",SUMIFS('Cash Book'!$D$5:$D$504,'Cash Book'!$G$5:$G$504,$A48))</f>
        <v/>
      </c>
      <c r="H48" s="16" t="str">
        <f aca="false">IF($A48="","",E48-G48)</f>
        <v/>
      </c>
      <c r="I48" s="21" t="str">
        <f aca="true">IF($A48="","",IF(H48&lt;=0,"Paid",IF(F48&lt;TODAY(),"OVERDUE",IF(G48&gt;0,"Part paid","Open"))))</f>
        <v/>
      </c>
      <c r="J48" s="22" t="str">
        <f aca="true">IF($A48="","",IF(AND(H48&gt;0,F48&lt;TODAY()),TODAY()-F48,0))</f>
        <v/>
      </c>
    </row>
    <row r="49" customFormat="false" ht="15" hidden="false" customHeight="false" outlineLevel="0" collapsed="false">
      <c r="A49" s="5"/>
      <c r="B49" s="19"/>
      <c r="C49" s="5"/>
      <c r="D49" s="5"/>
      <c r="E49" s="4"/>
      <c r="F49" s="19"/>
      <c r="G49" s="16" t="str">
        <f aca="false">IF($A49="","",SUMIFS('Cash Book'!$D$5:$D$504,'Cash Book'!$G$5:$G$504,$A49))</f>
        <v/>
      </c>
      <c r="H49" s="16" t="str">
        <f aca="false">IF($A49="","",E49-G49)</f>
        <v/>
      </c>
      <c r="I49" s="21" t="str">
        <f aca="true">IF($A49="","",IF(H49&lt;=0,"Paid",IF(F49&lt;TODAY(),"OVERDUE",IF(G49&gt;0,"Part paid","Open"))))</f>
        <v/>
      </c>
      <c r="J49" s="22" t="str">
        <f aca="true">IF($A49="","",IF(AND(H49&gt;0,F49&lt;TODAY()),TODAY()-F49,0))</f>
        <v/>
      </c>
    </row>
    <row r="50" customFormat="false" ht="15" hidden="false" customHeight="false" outlineLevel="0" collapsed="false">
      <c r="A50" s="5"/>
      <c r="B50" s="19"/>
      <c r="C50" s="5"/>
      <c r="D50" s="5"/>
      <c r="E50" s="4"/>
      <c r="F50" s="19"/>
      <c r="G50" s="16" t="str">
        <f aca="false">IF($A50="","",SUMIFS('Cash Book'!$D$5:$D$504,'Cash Book'!$G$5:$G$504,$A50))</f>
        <v/>
      </c>
      <c r="H50" s="16" t="str">
        <f aca="false">IF($A50="","",E50-G50)</f>
        <v/>
      </c>
      <c r="I50" s="21" t="str">
        <f aca="true">IF($A50="","",IF(H50&lt;=0,"Paid",IF(F50&lt;TODAY(),"OVERDUE",IF(G50&gt;0,"Part paid","Open"))))</f>
        <v/>
      </c>
      <c r="J50" s="22" t="str">
        <f aca="true">IF($A50="","",IF(AND(H50&gt;0,F50&lt;TODAY()),TODAY()-F50,0))</f>
        <v/>
      </c>
    </row>
    <row r="51" customFormat="false" ht="15" hidden="false" customHeight="false" outlineLevel="0" collapsed="false">
      <c r="A51" s="5"/>
      <c r="B51" s="19"/>
      <c r="C51" s="5"/>
      <c r="D51" s="5"/>
      <c r="E51" s="4"/>
      <c r="F51" s="19"/>
      <c r="G51" s="16" t="str">
        <f aca="false">IF($A51="","",SUMIFS('Cash Book'!$D$5:$D$504,'Cash Book'!$G$5:$G$504,$A51))</f>
        <v/>
      </c>
      <c r="H51" s="16" t="str">
        <f aca="false">IF($A51="","",E51-G51)</f>
        <v/>
      </c>
      <c r="I51" s="21" t="str">
        <f aca="true">IF($A51="","",IF(H51&lt;=0,"Paid",IF(F51&lt;TODAY(),"OVERDUE",IF(G51&gt;0,"Part paid","Open"))))</f>
        <v/>
      </c>
      <c r="J51" s="22" t="str">
        <f aca="true">IF($A51="","",IF(AND(H51&gt;0,F51&lt;TODAY()),TODAY()-F51,0))</f>
        <v/>
      </c>
    </row>
    <row r="52" customFormat="false" ht="15" hidden="false" customHeight="false" outlineLevel="0" collapsed="false">
      <c r="A52" s="5"/>
      <c r="B52" s="19"/>
      <c r="C52" s="5"/>
      <c r="D52" s="5"/>
      <c r="E52" s="4"/>
      <c r="F52" s="19"/>
      <c r="G52" s="16" t="str">
        <f aca="false">IF($A52="","",SUMIFS('Cash Book'!$D$5:$D$504,'Cash Book'!$G$5:$G$504,$A52))</f>
        <v/>
      </c>
      <c r="H52" s="16" t="str">
        <f aca="false">IF($A52="","",E52-G52)</f>
        <v/>
      </c>
      <c r="I52" s="21" t="str">
        <f aca="true">IF($A52="","",IF(H52&lt;=0,"Paid",IF(F52&lt;TODAY(),"OVERDUE",IF(G52&gt;0,"Part paid","Open"))))</f>
        <v/>
      </c>
      <c r="J52" s="22" t="str">
        <f aca="true">IF($A52="","",IF(AND(H52&gt;0,F52&lt;TODAY()),TODAY()-F52,0))</f>
        <v/>
      </c>
    </row>
    <row r="53" customFormat="false" ht="15" hidden="false" customHeight="false" outlineLevel="0" collapsed="false">
      <c r="A53" s="5"/>
      <c r="B53" s="19"/>
      <c r="C53" s="5"/>
      <c r="D53" s="5"/>
      <c r="E53" s="4"/>
      <c r="F53" s="19"/>
      <c r="G53" s="16" t="str">
        <f aca="false">IF($A53="","",SUMIFS('Cash Book'!$D$5:$D$504,'Cash Book'!$G$5:$G$504,$A53))</f>
        <v/>
      </c>
      <c r="H53" s="16" t="str">
        <f aca="false">IF($A53="","",E53-G53)</f>
        <v/>
      </c>
      <c r="I53" s="21" t="str">
        <f aca="true">IF($A53="","",IF(H53&lt;=0,"Paid",IF(F53&lt;TODAY(),"OVERDUE",IF(G53&gt;0,"Part paid","Open"))))</f>
        <v/>
      </c>
      <c r="J53" s="22" t="str">
        <f aca="true">IF($A53="","",IF(AND(H53&gt;0,F53&lt;TODAY()),TODAY()-F53,0))</f>
        <v/>
      </c>
    </row>
    <row r="54" customFormat="false" ht="15" hidden="false" customHeight="false" outlineLevel="0" collapsed="false">
      <c r="A54" s="5"/>
      <c r="B54" s="19"/>
      <c r="C54" s="5"/>
      <c r="D54" s="5"/>
      <c r="E54" s="4"/>
      <c r="F54" s="19"/>
      <c r="G54" s="16" t="str">
        <f aca="false">IF($A54="","",SUMIFS('Cash Book'!$D$5:$D$504,'Cash Book'!$G$5:$G$504,$A54))</f>
        <v/>
      </c>
      <c r="H54" s="16" t="str">
        <f aca="false">IF($A54="","",E54-G54)</f>
        <v/>
      </c>
      <c r="I54" s="21" t="str">
        <f aca="true">IF($A54="","",IF(H54&lt;=0,"Paid",IF(F54&lt;TODAY(),"OVERDUE",IF(G54&gt;0,"Part paid","Open"))))</f>
        <v/>
      </c>
      <c r="J54" s="22" t="str">
        <f aca="true">IF($A54="","",IF(AND(H54&gt;0,F54&lt;TODAY()),TODAY()-F54,0))</f>
        <v/>
      </c>
    </row>
    <row r="55" customFormat="false" ht="15" hidden="false" customHeight="false" outlineLevel="0" collapsed="false">
      <c r="A55" s="5"/>
      <c r="B55" s="19"/>
      <c r="C55" s="5"/>
      <c r="D55" s="5"/>
      <c r="E55" s="4"/>
      <c r="F55" s="19"/>
      <c r="G55" s="16" t="str">
        <f aca="false">IF($A55="","",SUMIFS('Cash Book'!$D$5:$D$504,'Cash Book'!$G$5:$G$504,$A55))</f>
        <v/>
      </c>
      <c r="H55" s="16" t="str">
        <f aca="false">IF($A55="","",E55-G55)</f>
        <v/>
      </c>
      <c r="I55" s="21" t="str">
        <f aca="true">IF($A55="","",IF(H55&lt;=0,"Paid",IF(F55&lt;TODAY(),"OVERDUE",IF(G55&gt;0,"Part paid","Open"))))</f>
        <v/>
      </c>
      <c r="J55" s="22" t="str">
        <f aca="true">IF($A55="","",IF(AND(H55&gt;0,F55&lt;TODAY()),TODAY()-F55,0))</f>
        <v/>
      </c>
    </row>
    <row r="56" customFormat="false" ht="15" hidden="false" customHeight="false" outlineLevel="0" collapsed="false">
      <c r="A56" s="5"/>
      <c r="B56" s="19"/>
      <c r="C56" s="5"/>
      <c r="D56" s="5"/>
      <c r="E56" s="4"/>
      <c r="F56" s="19"/>
      <c r="G56" s="16" t="str">
        <f aca="false">IF($A56="","",SUMIFS('Cash Book'!$D$5:$D$504,'Cash Book'!$G$5:$G$504,$A56))</f>
        <v/>
      </c>
      <c r="H56" s="16" t="str">
        <f aca="false">IF($A56="","",E56-G56)</f>
        <v/>
      </c>
      <c r="I56" s="21" t="str">
        <f aca="true">IF($A56="","",IF(H56&lt;=0,"Paid",IF(F56&lt;TODAY(),"OVERDUE",IF(G56&gt;0,"Part paid","Open"))))</f>
        <v/>
      </c>
      <c r="J56" s="22" t="str">
        <f aca="true">IF($A56="","",IF(AND(H56&gt;0,F56&lt;TODAY()),TODAY()-F56,0))</f>
        <v/>
      </c>
    </row>
    <row r="57" customFormat="false" ht="15" hidden="false" customHeight="false" outlineLevel="0" collapsed="false">
      <c r="A57" s="5"/>
      <c r="B57" s="19"/>
      <c r="C57" s="5"/>
      <c r="D57" s="5"/>
      <c r="E57" s="4"/>
      <c r="F57" s="19"/>
      <c r="G57" s="16" t="str">
        <f aca="false">IF($A57="","",SUMIFS('Cash Book'!$D$5:$D$504,'Cash Book'!$G$5:$G$504,$A57))</f>
        <v/>
      </c>
      <c r="H57" s="16" t="str">
        <f aca="false">IF($A57="","",E57-G57)</f>
        <v/>
      </c>
      <c r="I57" s="21" t="str">
        <f aca="true">IF($A57="","",IF(H57&lt;=0,"Paid",IF(F57&lt;TODAY(),"OVERDUE",IF(G57&gt;0,"Part paid","Open"))))</f>
        <v/>
      </c>
      <c r="J57" s="22" t="str">
        <f aca="true">IF($A57="","",IF(AND(H57&gt;0,F57&lt;TODAY()),TODAY()-F57,0))</f>
        <v/>
      </c>
    </row>
    <row r="58" customFormat="false" ht="15" hidden="false" customHeight="false" outlineLevel="0" collapsed="false">
      <c r="A58" s="5"/>
      <c r="B58" s="19"/>
      <c r="C58" s="5"/>
      <c r="D58" s="5"/>
      <c r="E58" s="4"/>
      <c r="F58" s="19"/>
      <c r="G58" s="16" t="str">
        <f aca="false">IF($A58="","",SUMIFS('Cash Book'!$D$5:$D$504,'Cash Book'!$G$5:$G$504,$A58))</f>
        <v/>
      </c>
      <c r="H58" s="16" t="str">
        <f aca="false">IF($A58="","",E58-G58)</f>
        <v/>
      </c>
      <c r="I58" s="21" t="str">
        <f aca="true">IF($A58="","",IF(H58&lt;=0,"Paid",IF(F58&lt;TODAY(),"OVERDUE",IF(G58&gt;0,"Part paid","Open"))))</f>
        <v/>
      </c>
      <c r="J58" s="22" t="str">
        <f aca="true">IF($A58="","",IF(AND(H58&gt;0,F58&lt;TODAY()),TODAY()-F58,0))</f>
        <v/>
      </c>
    </row>
    <row r="59" customFormat="false" ht="15" hidden="false" customHeight="false" outlineLevel="0" collapsed="false">
      <c r="A59" s="5"/>
      <c r="B59" s="19"/>
      <c r="C59" s="5"/>
      <c r="D59" s="5"/>
      <c r="E59" s="4"/>
      <c r="F59" s="19"/>
      <c r="G59" s="16" t="str">
        <f aca="false">IF($A59="","",SUMIFS('Cash Book'!$D$5:$D$504,'Cash Book'!$G$5:$G$504,$A59))</f>
        <v/>
      </c>
      <c r="H59" s="16" t="str">
        <f aca="false">IF($A59="","",E59-G59)</f>
        <v/>
      </c>
      <c r="I59" s="21" t="str">
        <f aca="true">IF($A59="","",IF(H59&lt;=0,"Paid",IF(F59&lt;TODAY(),"OVERDUE",IF(G59&gt;0,"Part paid","Open"))))</f>
        <v/>
      </c>
      <c r="J59" s="22" t="str">
        <f aca="true">IF($A59="","",IF(AND(H59&gt;0,F59&lt;TODAY()),TODAY()-F59,0))</f>
        <v/>
      </c>
    </row>
    <row r="60" customFormat="false" ht="15" hidden="false" customHeight="false" outlineLevel="0" collapsed="false">
      <c r="A60" s="5"/>
      <c r="B60" s="19"/>
      <c r="C60" s="5"/>
      <c r="D60" s="5"/>
      <c r="E60" s="4"/>
      <c r="F60" s="19"/>
      <c r="G60" s="16" t="str">
        <f aca="false">IF($A60="","",SUMIFS('Cash Book'!$D$5:$D$504,'Cash Book'!$G$5:$G$504,$A60))</f>
        <v/>
      </c>
      <c r="H60" s="16" t="str">
        <f aca="false">IF($A60="","",E60-G60)</f>
        <v/>
      </c>
      <c r="I60" s="21" t="str">
        <f aca="true">IF($A60="","",IF(H60&lt;=0,"Paid",IF(F60&lt;TODAY(),"OVERDUE",IF(G60&gt;0,"Part paid","Open"))))</f>
        <v/>
      </c>
      <c r="J60" s="22" t="str">
        <f aca="true">IF($A60="","",IF(AND(H60&gt;0,F60&lt;TODAY()),TODAY()-F60,0))</f>
        <v/>
      </c>
    </row>
    <row r="61" customFormat="false" ht="15" hidden="false" customHeight="false" outlineLevel="0" collapsed="false">
      <c r="A61" s="5"/>
      <c r="B61" s="19"/>
      <c r="C61" s="5"/>
      <c r="D61" s="5"/>
      <c r="E61" s="4"/>
      <c r="F61" s="19"/>
      <c r="G61" s="16" t="str">
        <f aca="false">IF($A61="","",SUMIFS('Cash Book'!$D$5:$D$504,'Cash Book'!$G$5:$G$504,$A61))</f>
        <v/>
      </c>
      <c r="H61" s="16" t="str">
        <f aca="false">IF($A61="","",E61-G61)</f>
        <v/>
      </c>
      <c r="I61" s="21" t="str">
        <f aca="true">IF($A61="","",IF(H61&lt;=0,"Paid",IF(F61&lt;TODAY(),"OVERDUE",IF(G61&gt;0,"Part paid","Open"))))</f>
        <v/>
      </c>
      <c r="J61" s="22" t="str">
        <f aca="true">IF($A61="","",IF(AND(H61&gt;0,F61&lt;TODAY()),TODAY()-F61,0))</f>
        <v/>
      </c>
    </row>
    <row r="62" customFormat="false" ht="15" hidden="false" customHeight="false" outlineLevel="0" collapsed="false">
      <c r="A62" s="5"/>
      <c r="B62" s="19"/>
      <c r="C62" s="5"/>
      <c r="D62" s="5"/>
      <c r="E62" s="4"/>
      <c r="F62" s="19"/>
      <c r="G62" s="16" t="str">
        <f aca="false">IF($A62="","",SUMIFS('Cash Book'!$D$5:$D$504,'Cash Book'!$G$5:$G$504,$A62))</f>
        <v/>
      </c>
      <c r="H62" s="16" t="str">
        <f aca="false">IF($A62="","",E62-G62)</f>
        <v/>
      </c>
      <c r="I62" s="21" t="str">
        <f aca="true">IF($A62="","",IF(H62&lt;=0,"Paid",IF(F62&lt;TODAY(),"OVERDUE",IF(G62&gt;0,"Part paid","Open"))))</f>
        <v/>
      </c>
      <c r="J62" s="22" t="str">
        <f aca="true">IF($A62="","",IF(AND(H62&gt;0,F62&lt;TODAY()),TODAY()-F62,0))</f>
        <v/>
      </c>
    </row>
    <row r="63" customFormat="false" ht="15" hidden="false" customHeight="false" outlineLevel="0" collapsed="false">
      <c r="A63" s="5"/>
      <c r="B63" s="19"/>
      <c r="C63" s="5"/>
      <c r="D63" s="5"/>
      <c r="E63" s="4"/>
      <c r="F63" s="19"/>
      <c r="G63" s="16" t="str">
        <f aca="false">IF($A63="","",SUMIFS('Cash Book'!$D$5:$D$504,'Cash Book'!$G$5:$G$504,$A63))</f>
        <v/>
      </c>
      <c r="H63" s="16" t="str">
        <f aca="false">IF($A63="","",E63-G63)</f>
        <v/>
      </c>
      <c r="I63" s="21" t="str">
        <f aca="true">IF($A63="","",IF(H63&lt;=0,"Paid",IF(F63&lt;TODAY(),"OVERDUE",IF(G63&gt;0,"Part paid","Open"))))</f>
        <v/>
      </c>
      <c r="J63" s="22" t="str">
        <f aca="true">IF($A63="","",IF(AND(H63&gt;0,F63&lt;TODAY()),TODAY()-F63,0))</f>
        <v/>
      </c>
    </row>
    <row r="64" customFormat="false" ht="15" hidden="false" customHeight="false" outlineLevel="0" collapsed="false">
      <c r="A64" s="5"/>
      <c r="B64" s="19"/>
      <c r="C64" s="5"/>
      <c r="D64" s="5"/>
      <c r="E64" s="4"/>
      <c r="F64" s="19"/>
      <c r="G64" s="16" t="str">
        <f aca="false">IF($A64="","",SUMIFS('Cash Book'!$D$5:$D$504,'Cash Book'!$G$5:$G$504,$A64))</f>
        <v/>
      </c>
      <c r="H64" s="16" t="str">
        <f aca="false">IF($A64="","",E64-G64)</f>
        <v/>
      </c>
      <c r="I64" s="21" t="str">
        <f aca="true">IF($A64="","",IF(H64&lt;=0,"Paid",IF(F64&lt;TODAY(),"OVERDUE",IF(G64&gt;0,"Part paid","Open"))))</f>
        <v/>
      </c>
      <c r="J64" s="22" t="str">
        <f aca="true">IF($A64="","",IF(AND(H64&gt;0,F64&lt;TODAY()),TODAY()-F64,0))</f>
        <v/>
      </c>
    </row>
    <row r="65" customFormat="false" ht="15" hidden="false" customHeight="false" outlineLevel="0" collapsed="false">
      <c r="A65" s="5"/>
      <c r="B65" s="19"/>
      <c r="C65" s="5"/>
      <c r="D65" s="5"/>
      <c r="E65" s="4"/>
      <c r="F65" s="19"/>
      <c r="G65" s="16" t="str">
        <f aca="false">IF($A65="","",SUMIFS('Cash Book'!$D$5:$D$504,'Cash Book'!$G$5:$G$504,$A65))</f>
        <v/>
      </c>
      <c r="H65" s="16" t="str">
        <f aca="false">IF($A65="","",E65-G65)</f>
        <v/>
      </c>
      <c r="I65" s="21" t="str">
        <f aca="true">IF($A65="","",IF(H65&lt;=0,"Paid",IF(F65&lt;TODAY(),"OVERDUE",IF(G65&gt;0,"Part paid","Open"))))</f>
        <v/>
      </c>
      <c r="J65" s="22" t="str">
        <f aca="true">IF($A65="","",IF(AND(H65&gt;0,F65&lt;TODAY()),TODAY()-F65,0))</f>
        <v/>
      </c>
    </row>
    <row r="66" customFormat="false" ht="15" hidden="false" customHeight="false" outlineLevel="0" collapsed="false">
      <c r="A66" s="5"/>
      <c r="B66" s="19"/>
      <c r="C66" s="5"/>
      <c r="D66" s="5"/>
      <c r="E66" s="4"/>
      <c r="F66" s="19"/>
      <c r="G66" s="16" t="str">
        <f aca="false">IF($A66="","",SUMIFS('Cash Book'!$D$5:$D$504,'Cash Book'!$G$5:$G$504,$A66))</f>
        <v/>
      </c>
      <c r="H66" s="16" t="str">
        <f aca="false">IF($A66="","",E66-G66)</f>
        <v/>
      </c>
      <c r="I66" s="21" t="str">
        <f aca="true">IF($A66="","",IF(H66&lt;=0,"Paid",IF(F66&lt;TODAY(),"OVERDUE",IF(G66&gt;0,"Part paid","Open"))))</f>
        <v/>
      </c>
      <c r="J66" s="22" t="str">
        <f aca="true">IF($A66="","",IF(AND(H66&gt;0,F66&lt;TODAY()),TODAY()-F66,0))</f>
        <v/>
      </c>
    </row>
    <row r="67" customFormat="false" ht="15" hidden="false" customHeight="false" outlineLevel="0" collapsed="false">
      <c r="A67" s="5"/>
      <c r="B67" s="19"/>
      <c r="C67" s="5"/>
      <c r="D67" s="5"/>
      <c r="E67" s="4"/>
      <c r="F67" s="19"/>
      <c r="G67" s="16" t="str">
        <f aca="false">IF($A67="","",SUMIFS('Cash Book'!$D$5:$D$504,'Cash Book'!$G$5:$G$504,$A67))</f>
        <v/>
      </c>
      <c r="H67" s="16" t="str">
        <f aca="false">IF($A67="","",E67-G67)</f>
        <v/>
      </c>
      <c r="I67" s="21" t="str">
        <f aca="true">IF($A67="","",IF(H67&lt;=0,"Paid",IF(F67&lt;TODAY(),"OVERDUE",IF(G67&gt;0,"Part paid","Open"))))</f>
        <v/>
      </c>
      <c r="J67" s="22" t="str">
        <f aca="true">IF($A67="","",IF(AND(H67&gt;0,F67&lt;TODAY()),TODAY()-F67,0))</f>
        <v/>
      </c>
    </row>
    <row r="68" customFormat="false" ht="15" hidden="false" customHeight="false" outlineLevel="0" collapsed="false">
      <c r="A68" s="5"/>
      <c r="B68" s="19"/>
      <c r="C68" s="5"/>
      <c r="D68" s="5"/>
      <c r="E68" s="4"/>
      <c r="F68" s="19"/>
      <c r="G68" s="16" t="str">
        <f aca="false">IF($A68="","",SUMIFS('Cash Book'!$D$5:$D$504,'Cash Book'!$G$5:$G$504,$A68))</f>
        <v/>
      </c>
      <c r="H68" s="16" t="str">
        <f aca="false">IF($A68="","",E68-G68)</f>
        <v/>
      </c>
      <c r="I68" s="21" t="str">
        <f aca="true">IF($A68="","",IF(H68&lt;=0,"Paid",IF(F68&lt;TODAY(),"OVERDUE",IF(G68&gt;0,"Part paid","Open"))))</f>
        <v/>
      </c>
      <c r="J68" s="22" t="str">
        <f aca="true">IF($A68="","",IF(AND(H68&gt;0,F68&lt;TODAY()),TODAY()-F68,0))</f>
        <v/>
      </c>
    </row>
    <row r="69" customFormat="false" ht="15" hidden="false" customHeight="false" outlineLevel="0" collapsed="false">
      <c r="A69" s="5"/>
      <c r="B69" s="19"/>
      <c r="C69" s="5"/>
      <c r="D69" s="5"/>
      <c r="E69" s="4"/>
      <c r="F69" s="19"/>
      <c r="G69" s="16" t="str">
        <f aca="false">IF($A69="","",SUMIFS('Cash Book'!$D$5:$D$504,'Cash Book'!$G$5:$G$504,$A69))</f>
        <v/>
      </c>
      <c r="H69" s="16" t="str">
        <f aca="false">IF($A69="","",E69-G69)</f>
        <v/>
      </c>
      <c r="I69" s="21" t="str">
        <f aca="true">IF($A69="","",IF(H69&lt;=0,"Paid",IF(F69&lt;TODAY(),"OVERDUE",IF(G69&gt;0,"Part paid","Open"))))</f>
        <v/>
      </c>
      <c r="J69" s="22" t="str">
        <f aca="true">IF($A69="","",IF(AND(H69&gt;0,F69&lt;TODAY()),TODAY()-F69,0))</f>
        <v/>
      </c>
    </row>
    <row r="70" customFormat="false" ht="15" hidden="false" customHeight="false" outlineLevel="0" collapsed="false">
      <c r="A70" s="5"/>
      <c r="B70" s="19"/>
      <c r="C70" s="5"/>
      <c r="D70" s="5"/>
      <c r="E70" s="4"/>
      <c r="F70" s="19"/>
      <c r="G70" s="16" t="str">
        <f aca="false">IF($A70="","",SUMIFS('Cash Book'!$D$5:$D$504,'Cash Book'!$G$5:$G$504,$A70))</f>
        <v/>
      </c>
      <c r="H70" s="16" t="str">
        <f aca="false">IF($A70="","",E70-G70)</f>
        <v/>
      </c>
      <c r="I70" s="21" t="str">
        <f aca="true">IF($A70="","",IF(H70&lt;=0,"Paid",IF(F70&lt;TODAY(),"OVERDUE",IF(G70&gt;0,"Part paid","Open"))))</f>
        <v/>
      </c>
      <c r="J70" s="22" t="str">
        <f aca="true">IF($A70="","",IF(AND(H70&gt;0,F70&lt;TODAY()),TODAY()-F70,0))</f>
        <v/>
      </c>
    </row>
    <row r="71" customFormat="false" ht="15" hidden="false" customHeight="false" outlineLevel="0" collapsed="false">
      <c r="A71" s="5"/>
      <c r="B71" s="19"/>
      <c r="C71" s="5"/>
      <c r="D71" s="5"/>
      <c r="E71" s="4"/>
      <c r="F71" s="19"/>
      <c r="G71" s="16" t="str">
        <f aca="false">IF($A71="","",SUMIFS('Cash Book'!$D$5:$D$504,'Cash Book'!$G$5:$G$504,$A71))</f>
        <v/>
      </c>
      <c r="H71" s="16" t="str">
        <f aca="false">IF($A71="","",E71-G71)</f>
        <v/>
      </c>
      <c r="I71" s="21" t="str">
        <f aca="true">IF($A71="","",IF(H71&lt;=0,"Paid",IF(F71&lt;TODAY(),"OVERDUE",IF(G71&gt;0,"Part paid","Open"))))</f>
        <v/>
      </c>
      <c r="J71" s="22" t="str">
        <f aca="true">IF($A71="","",IF(AND(H71&gt;0,F71&lt;TODAY()),TODAY()-F71,0))</f>
        <v/>
      </c>
    </row>
    <row r="72" customFormat="false" ht="15" hidden="false" customHeight="false" outlineLevel="0" collapsed="false">
      <c r="A72" s="5"/>
      <c r="B72" s="19"/>
      <c r="C72" s="5"/>
      <c r="D72" s="5"/>
      <c r="E72" s="4"/>
      <c r="F72" s="19"/>
      <c r="G72" s="16" t="str">
        <f aca="false">IF($A72="","",SUMIFS('Cash Book'!$D$5:$D$504,'Cash Book'!$G$5:$G$504,$A72))</f>
        <v/>
      </c>
      <c r="H72" s="16" t="str">
        <f aca="false">IF($A72="","",E72-G72)</f>
        <v/>
      </c>
      <c r="I72" s="21" t="str">
        <f aca="true">IF($A72="","",IF(H72&lt;=0,"Paid",IF(F72&lt;TODAY(),"OVERDUE",IF(G72&gt;0,"Part paid","Open"))))</f>
        <v/>
      </c>
      <c r="J72" s="22" t="str">
        <f aca="true">IF($A72="","",IF(AND(H72&gt;0,F72&lt;TODAY()),TODAY()-F72,0))</f>
        <v/>
      </c>
    </row>
    <row r="73" customFormat="false" ht="15" hidden="false" customHeight="false" outlineLevel="0" collapsed="false">
      <c r="A73" s="5"/>
      <c r="B73" s="19"/>
      <c r="C73" s="5"/>
      <c r="D73" s="5"/>
      <c r="E73" s="4"/>
      <c r="F73" s="19"/>
      <c r="G73" s="16" t="str">
        <f aca="false">IF($A73="","",SUMIFS('Cash Book'!$D$5:$D$504,'Cash Book'!$G$5:$G$504,$A73))</f>
        <v/>
      </c>
      <c r="H73" s="16" t="str">
        <f aca="false">IF($A73="","",E73-G73)</f>
        <v/>
      </c>
      <c r="I73" s="21" t="str">
        <f aca="true">IF($A73="","",IF(H73&lt;=0,"Paid",IF(F73&lt;TODAY(),"OVERDUE",IF(G73&gt;0,"Part paid","Open"))))</f>
        <v/>
      </c>
      <c r="J73" s="22" t="str">
        <f aca="true">IF($A73="","",IF(AND(H73&gt;0,F73&lt;TODAY()),TODAY()-F73,0))</f>
        <v/>
      </c>
    </row>
    <row r="74" customFormat="false" ht="15" hidden="false" customHeight="false" outlineLevel="0" collapsed="false">
      <c r="A74" s="5"/>
      <c r="B74" s="19"/>
      <c r="C74" s="5"/>
      <c r="D74" s="5"/>
      <c r="E74" s="4"/>
      <c r="F74" s="19"/>
      <c r="G74" s="16" t="str">
        <f aca="false">IF($A74="","",SUMIFS('Cash Book'!$D$5:$D$504,'Cash Book'!$G$5:$G$504,$A74))</f>
        <v/>
      </c>
      <c r="H74" s="16" t="str">
        <f aca="false">IF($A74="","",E74-G74)</f>
        <v/>
      </c>
      <c r="I74" s="21" t="str">
        <f aca="true">IF($A74="","",IF(H74&lt;=0,"Paid",IF(F74&lt;TODAY(),"OVERDUE",IF(G74&gt;0,"Part paid","Open"))))</f>
        <v/>
      </c>
      <c r="J74" s="22" t="str">
        <f aca="true">IF($A74="","",IF(AND(H74&gt;0,F74&lt;TODAY()),TODAY()-F74,0))</f>
        <v/>
      </c>
    </row>
    <row r="75" customFormat="false" ht="15" hidden="false" customHeight="false" outlineLevel="0" collapsed="false">
      <c r="A75" s="5"/>
      <c r="B75" s="19"/>
      <c r="C75" s="5"/>
      <c r="D75" s="5"/>
      <c r="E75" s="4"/>
      <c r="F75" s="19"/>
      <c r="G75" s="16" t="str">
        <f aca="false">IF($A75="","",SUMIFS('Cash Book'!$D$5:$D$504,'Cash Book'!$G$5:$G$504,$A75))</f>
        <v/>
      </c>
      <c r="H75" s="16" t="str">
        <f aca="false">IF($A75="","",E75-G75)</f>
        <v/>
      </c>
      <c r="I75" s="21" t="str">
        <f aca="true">IF($A75="","",IF(H75&lt;=0,"Paid",IF(F75&lt;TODAY(),"OVERDUE",IF(G75&gt;0,"Part paid","Open"))))</f>
        <v/>
      </c>
      <c r="J75" s="22" t="str">
        <f aca="true">IF($A75="","",IF(AND(H75&gt;0,F75&lt;TODAY()),TODAY()-F75,0))</f>
        <v/>
      </c>
    </row>
    <row r="76" customFormat="false" ht="15" hidden="false" customHeight="false" outlineLevel="0" collapsed="false">
      <c r="A76" s="5"/>
      <c r="B76" s="19"/>
      <c r="C76" s="5"/>
      <c r="D76" s="5"/>
      <c r="E76" s="4"/>
      <c r="F76" s="19"/>
      <c r="G76" s="16" t="str">
        <f aca="false">IF($A76="","",SUMIFS('Cash Book'!$D$5:$D$504,'Cash Book'!$G$5:$G$504,$A76))</f>
        <v/>
      </c>
      <c r="H76" s="16" t="str">
        <f aca="false">IF($A76="","",E76-G76)</f>
        <v/>
      </c>
      <c r="I76" s="21" t="str">
        <f aca="true">IF($A76="","",IF(H76&lt;=0,"Paid",IF(F76&lt;TODAY(),"OVERDUE",IF(G76&gt;0,"Part paid","Open"))))</f>
        <v/>
      </c>
      <c r="J76" s="22" t="str">
        <f aca="true">IF($A76="","",IF(AND(H76&gt;0,F76&lt;TODAY()),TODAY()-F76,0))</f>
        <v/>
      </c>
    </row>
    <row r="77" customFormat="false" ht="15" hidden="false" customHeight="false" outlineLevel="0" collapsed="false">
      <c r="A77" s="5"/>
      <c r="B77" s="19"/>
      <c r="C77" s="5"/>
      <c r="D77" s="5"/>
      <c r="E77" s="4"/>
      <c r="F77" s="19"/>
      <c r="G77" s="16" t="str">
        <f aca="false">IF($A77="","",SUMIFS('Cash Book'!$D$5:$D$504,'Cash Book'!$G$5:$G$504,$A77))</f>
        <v/>
      </c>
      <c r="H77" s="16" t="str">
        <f aca="false">IF($A77="","",E77-G77)</f>
        <v/>
      </c>
      <c r="I77" s="21" t="str">
        <f aca="true">IF($A77="","",IF(H77&lt;=0,"Paid",IF(F77&lt;TODAY(),"OVERDUE",IF(G77&gt;0,"Part paid","Open"))))</f>
        <v/>
      </c>
      <c r="J77" s="22" t="str">
        <f aca="true">IF($A77="","",IF(AND(H77&gt;0,F77&lt;TODAY()),TODAY()-F77,0))</f>
        <v/>
      </c>
    </row>
    <row r="78" customFormat="false" ht="15" hidden="false" customHeight="false" outlineLevel="0" collapsed="false">
      <c r="A78" s="5"/>
      <c r="B78" s="19"/>
      <c r="C78" s="5"/>
      <c r="D78" s="5"/>
      <c r="E78" s="4"/>
      <c r="F78" s="19"/>
      <c r="G78" s="16" t="str">
        <f aca="false">IF($A78="","",SUMIFS('Cash Book'!$D$5:$D$504,'Cash Book'!$G$5:$G$504,$A78))</f>
        <v/>
      </c>
      <c r="H78" s="16" t="str">
        <f aca="false">IF($A78="","",E78-G78)</f>
        <v/>
      </c>
      <c r="I78" s="21" t="str">
        <f aca="true">IF($A78="","",IF(H78&lt;=0,"Paid",IF(F78&lt;TODAY(),"OVERDUE",IF(G78&gt;0,"Part paid","Open"))))</f>
        <v/>
      </c>
      <c r="J78" s="22" t="str">
        <f aca="true">IF($A78="","",IF(AND(H78&gt;0,F78&lt;TODAY()),TODAY()-F78,0))</f>
        <v/>
      </c>
    </row>
    <row r="79" customFormat="false" ht="15" hidden="false" customHeight="false" outlineLevel="0" collapsed="false">
      <c r="A79" s="5"/>
      <c r="B79" s="19"/>
      <c r="C79" s="5"/>
      <c r="D79" s="5"/>
      <c r="E79" s="4"/>
      <c r="F79" s="19"/>
      <c r="G79" s="16" t="str">
        <f aca="false">IF($A79="","",SUMIFS('Cash Book'!$D$5:$D$504,'Cash Book'!$G$5:$G$504,$A79))</f>
        <v/>
      </c>
      <c r="H79" s="16" t="str">
        <f aca="false">IF($A79="","",E79-G79)</f>
        <v/>
      </c>
      <c r="I79" s="21" t="str">
        <f aca="true">IF($A79="","",IF(H79&lt;=0,"Paid",IF(F79&lt;TODAY(),"OVERDUE",IF(G79&gt;0,"Part paid","Open"))))</f>
        <v/>
      </c>
      <c r="J79" s="22" t="str">
        <f aca="true">IF($A79="","",IF(AND(H79&gt;0,F79&lt;TODAY()),TODAY()-F79,0))</f>
        <v/>
      </c>
    </row>
    <row r="80" customFormat="false" ht="15" hidden="false" customHeight="false" outlineLevel="0" collapsed="false">
      <c r="A80" s="5"/>
      <c r="B80" s="19"/>
      <c r="C80" s="5"/>
      <c r="D80" s="5"/>
      <c r="E80" s="4"/>
      <c r="F80" s="19"/>
      <c r="G80" s="16" t="str">
        <f aca="false">IF($A80="","",SUMIFS('Cash Book'!$D$5:$D$504,'Cash Book'!$G$5:$G$504,$A80))</f>
        <v/>
      </c>
      <c r="H80" s="16" t="str">
        <f aca="false">IF($A80="","",E80-G80)</f>
        <v/>
      </c>
      <c r="I80" s="21" t="str">
        <f aca="true">IF($A80="","",IF(H80&lt;=0,"Paid",IF(F80&lt;TODAY(),"OVERDUE",IF(G80&gt;0,"Part paid","Open"))))</f>
        <v/>
      </c>
      <c r="J80" s="22" t="str">
        <f aca="true">IF($A80="","",IF(AND(H80&gt;0,F80&lt;TODAY()),TODAY()-F80,0))</f>
        <v/>
      </c>
    </row>
    <row r="81" customFormat="false" ht="15" hidden="false" customHeight="false" outlineLevel="0" collapsed="false">
      <c r="A81" s="5"/>
      <c r="B81" s="19"/>
      <c r="C81" s="5"/>
      <c r="D81" s="5"/>
      <c r="E81" s="4"/>
      <c r="F81" s="19"/>
      <c r="G81" s="16" t="str">
        <f aca="false">IF($A81="","",SUMIFS('Cash Book'!$D$5:$D$504,'Cash Book'!$G$5:$G$504,$A81))</f>
        <v/>
      </c>
      <c r="H81" s="16" t="str">
        <f aca="false">IF($A81="","",E81-G81)</f>
        <v/>
      </c>
      <c r="I81" s="21" t="str">
        <f aca="true">IF($A81="","",IF(H81&lt;=0,"Paid",IF(F81&lt;TODAY(),"OVERDUE",IF(G81&gt;0,"Part paid","Open"))))</f>
        <v/>
      </c>
      <c r="J81" s="22" t="str">
        <f aca="true">IF($A81="","",IF(AND(H81&gt;0,F81&lt;TODAY()),TODAY()-F81,0))</f>
        <v/>
      </c>
    </row>
    <row r="82" customFormat="false" ht="15" hidden="false" customHeight="false" outlineLevel="0" collapsed="false">
      <c r="A82" s="5"/>
      <c r="B82" s="19"/>
      <c r="C82" s="5"/>
      <c r="D82" s="5"/>
      <c r="E82" s="4"/>
      <c r="F82" s="19"/>
      <c r="G82" s="16" t="str">
        <f aca="false">IF($A82="","",SUMIFS('Cash Book'!$D$5:$D$504,'Cash Book'!$G$5:$G$504,$A82))</f>
        <v/>
      </c>
      <c r="H82" s="16" t="str">
        <f aca="false">IF($A82="","",E82-G82)</f>
        <v/>
      </c>
      <c r="I82" s="21" t="str">
        <f aca="true">IF($A82="","",IF(H82&lt;=0,"Paid",IF(F82&lt;TODAY(),"OVERDUE",IF(G82&gt;0,"Part paid","Open"))))</f>
        <v/>
      </c>
      <c r="J82" s="22" t="str">
        <f aca="true">IF($A82="","",IF(AND(H82&gt;0,F82&lt;TODAY()),TODAY()-F82,0))</f>
        <v/>
      </c>
    </row>
    <row r="83" customFormat="false" ht="15" hidden="false" customHeight="false" outlineLevel="0" collapsed="false">
      <c r="A83" s="5"/>
      <c r="B83" s="19"/>
      <c r="C83" s="5"/>
      <c r="D83" s="5"/>
      <c r="E83" s="4"/>
      <c r="F83" s="19"/>
      <c r="G83" s="16" t="str">
        <f aca="false">IF($A83="","",SUMIFS('Cash Book'!$D$5:$D$504,'Cash Book'!$G$5:$G$504,$A83))</f>
        <v/>
      </c>
      <c r="H83" s="16" t="str">
        <f aca="false">IF($A83="","",E83-G83)</f>
        <v/>
      </c>
      <c r="I83" s="21" t="str">
        <f aca="true">IF($A83="","",IF(H83&lt;=0,"Paid",IF(F83&lt;TODAY(),"OVERDUE",IF(G83&gt;0,"Part paid","Open"))))</f>
        <v/>
      </c>
      <c r="J83" s="22" t="str">
        <f aca="true">IF($A83="","",IF(AND(H83&gt;0,F83&lt;TODAY()),TODAY()-F83,0))</f>
        <v/>
      </c>
    </row>
    <row r="84" customFormat="false" ht="15" hidden="false" customHeight="false" outlineLevel="0" collapsed="false">
      <c r="A84" s="5"/>
      <c r="B84" s="19"/>
      <c r="C84" s="5"/>
      <c r="D84" s="5"/>
      <c r="E84" s="4"/>
      <c r="F84" s="19"/>
      <c r="G84" s="16" t="str">
        <f aca="false">IF($A84="","",SUMIFS('Cash Book'!$D$5:$D$504,'Cash Book'!$G$5:$G$504,$A84))</f>
        <v/>
      </c>
      <c r="H84" s="16" t="str">
        <f aca="false">IF($A84="","",E84-G84)</f>
        <v/>
      </c>
      <c r="I84" s="21" t="str">
        <f aca="true">IF($A84="","",IF(H84&lt;=0,"Paid",IF(F84&lt;TODAY(),"OVERDUE",IF(G84&gt;0,"Part paid","Open"))))</f>
        <v/>
      </c>
      <c r="J84" s="22" t="str">
        <f aca="true">IF($A84="","",IF(AND(H84&gt;0,F84&lt;TODAY()),TODAY()-F84,0))</f>
        <v/>
      </c>
    </row>
    <row r="85" customFormat="false" ht="15" hidden="false" customHeight="false" outlineLevel="0" collapsed="false">
      <c r="A85" s="5"/>
      <c r="B85" s="19"/>
      <c r="C85" s="5"/>
      <c r="D85" s="5"/>
      <c r="E85" s="4"/>
      <c r="F85" s="19"/>
      <c r="G85" s="16" t="str">
        <f aca="false">IF($A85="","",SUMIFS('Cash Book'!$D$5:$D$504,'Cash Book'!$G$5:$G$504,$A85))</f>
        <v/>
      </c>
      <c r="H85" s="16" t="str">
        <f aca="false">IF($A85="","",E85-G85)</f>
        <v/>
      </c>
      <c r="I85" s="21" t="str">
        <f aca="true">IF($A85="","",IF(H85&lt;=0,"Paid",IF(F85&lt;TODAY(),"OVERDUE",IF(G85&gt;0,"Part paid","Open"))))</f>
        <v/>
      </c>
      <c r="J85" s="22" t="str">
        <f aca="true">IF($A85="","",IF(AND(H85&gt;0,F85&lt;TODAY()),TODAY()-F85,0))</f>
        <v/>
      </c>
    </row>
    <row r="86" customFormat="false" ht="15" hidden="false" customHeight="false" outlineLevel="0" collapsed="false">
      <c r="A86" s="5"/>
      <c r="B86" s="19"/>
      <c r="C86" s="5"/>
      <c r="D86" s="5"/>
      <c r="E86" s="4"/>
      <c r="F86" s="19"/>
      <c r="G86" s="16" t="str">
        <f aca="false">IF($A86="","",SUMIFS('Cash Book'!$D$5:$D$504,'Cash Book'!$G$5:$G$504,$A86))</f>
        <v/>
      </c>
      <c r="H86" s="16" t="str">
        <f aca="false">IF($A86="","",E86-G86)</f>
        <v/>
      </c>
      <c r="I86" s="21" t="str">
        <f aca="true">IF($A86="","",IF(H86&lt;=0,"Paid",IF(F86&lt;TODAY(),"OVERDUE",IF(G86&gt;0,"Part paid","Open"))))</f>
        <v/>
      </c>
      <c r="J86" s="22" t="str">
        <f aca="true">IF($A86="","",IF(AND(H86&gt;0,F86&lt;TODAY()),TODAY()-F86,0))</f>
        <v/>
      </c>
    </row>
    <row r="87" customFormat="false" ht="15" hidden="false" customHeight="false" outlineLevel="0" collapsed="false">
      <c r="A87" s="5"/>
      <c r="B87" s="19"/>
      <c r="C87" s="5"/>
      <c r="D87" s="5"/>
      <c r="E87" s="4"/>
      <c r="F87" s="19"/>
      <c r="G87" s="16" t="str">
        <f aca="false">IF($A87="","",SUMIFS('Cash Book'!$D$5:$D$504,'Cash Book'!$G$5:$G$504,$A87))</f>
        <v/>
      </c>
      <c r="H87" s="16" t="str">
        <f aca="false">IF($A87="","",E87-G87)</f>
        <v/>
      </c>
      <c r="I87" s="21" t="str">
        <f aca="true">IF($A87="","",IF(H87&lt;=0,"Paid",IF(F87&lt;TODAY(),"OVERDUE",IF(G87&gt;0,"Part paid","Open"))))</f>
        <v/>
      </c>
      <c r="J87" s="22" t="str">
        <f aca="true">IF($A87="","",IF(AND(H87&gt;0,F87&lt;TODAY()),TODAY()-F87,0))</f>
        <v/>
      </c>
    </row>
    <row r="88" customFormat="false" ht="15" hidden="false" customHeight="false" outlineLevel="0" collapsed="false">
      <c r="A88" s="5"/>
      <c r="B88" s="19"/>
      <c r="C88" s="5"/>
      <c r="D88" s="5"/>
      <c r="E88" s="4"/>
      <c r="F88" s="19"/>
      <c r="G88" s="16" t="str">
        <f aca="false">IF($A88="","",SUMIFS('Cash Book'!$D$5:$D$504,'Cash Book'!$G$5:$G$504,$A88))</f>
        <v/>
      </c>
      <c r="H88" s="16" t="str">
        <f aca="false">IF($A88="","",E88-G88)</f>
        <v/>
      </c>
      <c r="I88" s="21" t="str">
        <f aca="true">IF($A88="","",IF(H88&lt;=0,"Paid",IF(F88&lt;TODAY(),"OVERDUE",IF(G88&gt;0,"Part paid","Open"))))</f>
        <v/>
      </c>
      <c r="J88" s="22" t="str">
        <f aca="true">IF($A88="","",IF(AND(H88&gt;0,F88&lt;TODAY()),TODAY()-F88,0))</f>
        <v/>
      </c>
    </row>
    <row r="89" customFormat="false" ht="15" hidden="false" customHeight="false" outlineLevel="0" collapsed="false">
      <c r="A89" s="5"/>
      <c r="B89" s="19"/>
      <c r="C89" s="5"/>
      <c r="D89" s="5"/>
      <c r="E89" s="4"/>
      <c r="F89" s="19"/>
      <c r="G89" s="16" t="str">
        <f aca="false">IF($A89="","",SUMIFS('Cash Book'!$D$5:$D$504,'Cash Book'!$G$5:$G$504,$A89))</f>
        <v/>
      </c>
      <c r="H89" s="16" t="str">
        <f aca="false">IF($A89="","",E89-G89)</f>
        <v/>
      </c>
      <c r="I89" s="21" t="str">
        <f aca="true">IF($A89="","",IF(H89&lt;=0,"Paid",IF(F89&lt;TODAY(),"OVERDUE",IF(G89&gt;0,"Part paid","Open"))))</f>
        <v/>
      </c>
      <c r="J89" s="22" t="str">
        <f aca="true">IF($A89="","",IF(AND(H89&gt;0,F89&lt;TODAY()),TODAY()-F89,0))</f>
        <v/>
      </c>
    </row>
    <row r="90" customFormat="false" ht="15" hidden="false" customHeight="false" outlineLevel="0" collapsed="false">
      <c r="A90" s="5"/>
      <c r="B90" s="19"/>
      <c r="C90" s="5"/>
      <c r="D90" s="5"/>
      <c r="E90" s="4"/>
      <c r="F90" s="19"/>
      <c r="G90" s="16" t="str">
        <f aca="false">IF($A90="","",SUMIFS('Cash Book'!$D$5:$D$504,'Cash Book'!$G$5:$G$504,$A90))</f>
        <v/>
      </c>
      <c r="H90" s="16" t="str">
        <f aca="false">IF($A90="","",E90-G90)</f>
        <v/>
      </c>
      <c r="I90" s="21" t="str">
        <f aca="true">IF($A90="","",IF(H90&lt;=0,"Paid",IF(F90&lt;TODAY(),"OVERDUE",IF(G90&gt;0,"Part paid","Open"))))</f>
        <v/>
      </c>
      <c r="J90" s="22" t="str">
        <f aca="true">IF($A90="","",IF(AND(H90&gt;0,F90&lt;TODAY()),TODAY()-F90,0))</f>
        <v/>
      </c>
    </row>
    <row r="91" customFormat="false" ht="15" hidden="false" customHeight="false" outlineLevel="0" collapsed="false">
      <c r="A91" s="5"/>
      <c r="B91" s="19"/>
      <c r="C91" s="5"/>
      <c r="D91" s="5"/>
      <c r="E91" s="4"/>
      <c r="F91" s="19"/>
      <c r="G91" s="16" t="str">
        <f aca="false">IF($A91="","",SUMIFS('Cash Book'!$D$5:$D$504,'Cash Book'!$G$5:$G$504,$A91))</f>
        <v/>
      </c>
      <c r="H91" s="16" t="str">
        <f aca="false">IF($A91="","",E91-G91)</f>
        <v/>
      </c>
      <c r="I91" s="21" t="str">
        <f aca="true">IF($A91="","",IF(H91&lt;=0,"Paid",IF(F91&lt;TODAY(),"OVERDUE",IF(G91&gt;0,"Part paid","Open"))))</f>
        <v/>
      </c>
      <c r="J91" s="22" t="str">
        <f aca="true">IF($A91="","",IF(AND(H91&gt;0,F91&lt;TODAY()),TODAY()-F91,0))</f>
        <v/>
      </c>
    </row>
    <row r="92" customFormat="false" ht="15" hidden="false" customHeight="false" outlineLevel="0" collapsed="false">
      <c r="A92" s="5"/>
      <c r="B92" s="19"/>
      <c r="C92" s="5"/>
      <c r="D92" s="5"/>
      <c r="E92" s="4"/>
      <c r="F92" s="19"/>
      <c r="G92" s="16" t="str">
        <f aca="false">IF($A92="","",SUMIFS('Cash Book'!$D$5:$D$504,'Cash Book'!$G$5:$G$504,$A92))</f>
        <v/>
      </c>
      <c r="H92" s="16" t="str">
        <f aca="false">IF($A92="","",E92-G92)</f>
        <v/>
      </c>
      <c r="I92" s="21" t="str">
        <f aca="true">IF($A92="","",IF(H92&lt;=0,"Paid",IF(F92&lt;TODAY(),"OVERDUE",IF(G92&gt;0,"Part paid","Open"))))</f>
        <v/>
      </c>
      <c r="J92" s="22" t="str">
        <f aca="true">IF($A92="","",IF(AND(H92&gt;0,F92&lt;TODAY()),TODAY()-F92,0))</f>
        <v/>
      </c>
    </row>
    <row r="93" customFormat="false" ht="15" hidden="false" customHeight="false" outlineLevel="0" collapsed="false">
      <c r="A93" s="5"/>
      <c r="B93" s="19"/>
      <c r="C93" s="5"/>
      <c r="D93" s="5"/>
      <c r="E93" s="4"/>
      <c r="F93" s="19"/>
      <c r="G93" s="16" t="str">
        <f aca="false">IF($A93="","",SUMIFS('Cash Book'!$D$5:$D$504,'Cash Book'!$G$5:$G$504,$A93))</f>
        <v/>
      </c>
      <c r="H93" s="16" t="str">
        <f aca="false">IF($A93="","",E93-G93)</f>
        <v/>
      </c>
      <c r="I93" s="21" t="str">
        <f aca="true">IF($A93="","",IF(H93&lt;=0,"Paid",IF(F93&lt;TODAY(),"OVERDUE",IF(G93&gt;0,"Part paid","Open"))))</f>
        <v/>
      </c>
      <c r="J93" s="22" t="str">
        <f aca="true">IF($A93="","",IF(AND(H93&gt;0,F93&lt;TODAY()),TODAY()-F93,0))</f>
        <v/>
      </c>
    </row>
    <row r="94" customFormat="false" ht="15" hidden="false" customHeight="false" outlineLevel="0" collapsed="false">
      <c r="A94" s="5"/>
      <c r="B94" s="19"/>
      <c r="C94" s="5"/>
      <c r="D94" s="5"/>
      <c r="E94" s="4"/>
      <c r="F94" s="19"/>
      <c r="G94" s="16" t="str">
        <f aca="false">IF($A94="","",SUMIFS('Cash Book'!$D$5:$D$504,'Cash Book'!$G$5:$G$504,$A94))</f>
        <v/>
      </c>
      <c r="H94" s="16" t="str">
        <f aca="false">IF($A94="","",E94-G94)</f>
        <v/>
      </c>
      <c r="I94" s="21" t="str">
        <f aca="true">IF($A94="","",IF(H94&lt;=0,"Paid",IF(F94&lt;TODAY(),"OVERDUE",IF(G94&gt;0,"Part paid","Open"))))</f>
        <v/>
      </c>
      <c r="J94" s="22" t="str">
        <f aca="true">IF($A94="","",IF(AND(H94&gt;0,F94&lt;TODAY()),TODAY()-F94,0))</f>
        <v/>
      </c>
    </row>
    <row r="95" customFormat="false" ht="15" hidden="false" customHeight="false" outlineLevel="0" collapsed="false">
      <c r="A95" s="5"/>
      <c r="B95" s="19"/>
      <c r="C95" s="5"/>
      <c r="D95" s="5"/>
      <c r="E95" s="4"/>
      <c r="F95" s="19"/>
      <c r="G95" s="16" t="str">
        <f aca="false">IF($A95="","",SUMIFS('Cash Book'!$D$5:$D$504,'Cash Book'!$G$5:$G$504,$A95))</f>
        <v/>
      </c>
      <c r="H95" s="16" t="str">
        <f aca="false">IF($A95="","",E95-G95)</f>
        <v/>
      </c>
      <c r="I95" s="21" t="str">
        <f aca="true">IF($A95="","",IF(H95&lt;=0,"Paid",IF(F95&lt;TODAY(),"OVERDUE",IF(G95&gt;0,"Part paid","Open"))))</f>
        <v/>
      </c>
      <c r="J95" s="22" t="str">
        <f aca="true">IF($A95="","",IF(AND(H95&gt;0,F95&lt;TODAY()),TODAY()-F95,0))</f>
        <v/>
      </c>
    </row>
    <row r="96" customFormat="false" ht="15" hidden="false" customHeight="false" outlineLevel="0" collapsed="false">
      <c r="A96" s="5"/>
      <c r="B96" s="19"/>
      <c r="C96" s="5"/>
      <c r="D96" s="5"/>
      <c r="E96" s="4"/>
      <c r="F96" s="19"/>
      <c r="G96" s="16" t="str">
        <f aca="false">IF($A96="","",SUMIFS('Cash Book'!$D$5:$D$504,'Cash Book'!$G$5:$G$504,$A96))</f>
        <v/>
      </c>
      <c r="H96" s="16" t="str">
        <f aca="false">IF($A96="","",E96-G96)</f>
        <v/>
      </c>
      <c r="I96" s="21" t="str">
        <f aca="true">IF($A96="","",IF(H96&lt;=0,"Paid",IF(F96&lt;TODAY(),"OVERDUE",IF(G96&gt;0,"Part paid","Open"))))</f>
        <v/>
      </c>
      <c r="J96" s="22" t="str">
        <f aca="true">IF($A96="","",IF(AND(H96&gt;0,F96&lt;TODAY()),TODAY()-F96,0))</f>
        <v/>
      </c>
    </row>
    <row r="97" customFormat="false" ht="15" hidden="false" customHeight="false" outlineLevel="0" collapsed="false">
      <c r="A97" s="5"/>
      <c r="B97" s="19"/>
      <c r="C97" s="5"/>
      <c r="D97" s="5"/>
      <c r="E97" s="4"/>
      <c r="F97" s="19"/>
      <c r="G97" s="16" t="str">
        <f aca="false">IF($A97="","",SUMIFS('Cash Book'!$D$5:$D$504,'Cash Book'!$G$5:$G$504,$A97))</f>
        <v/>
      </c>
      <c r="H97" s="16" t="str">
        <f aca="false">IF($A97="","",E97-G97)</f>
        <v/>
      </c>
      <c r="I97" s="21" t="str">
        <f aca="true">IF($A97="","",IF(H97&lt;=0,"Paid",IF(F97&lt;TODAY(),"OVERDUE",IF(G97&gt;0,"Part paid","Open"))))</f>
        <v/>
      </c>
      <c r="J97" s="22" t="str">
        <f aca="true">IF($A97="","",IF(AND(H97&gt;0,F97&lt;TODAY()),TODAY()-F97,0))</f>
        <v/>
      </c>
    </row>
    <row r="98" customFormat="false" ht="15" hidden="false" customHeight="false" outlineLevel="0" collapsed="false">
      <c r="A98" s="5"/>
      <c r="B98" s="19"/>
      <c r="C98" s="5"/>
      <c r="D98" s="5"/>
      <c r="E98" s="4"/>
      <c r="F98" s="19"/>
      <c r="G98" s="16" t="str">
        <f aca="false">IF($A98="","",SUMIFS('Cash Book'!$D$5:$D$504,'Cash Book'!$G$5:$G$504,$A98))</f>
        <v/>
      </c>
      <c r="H98" s="16" t="str">
        <f aca="false">IF($A98="","",E98-G98)</f>
        <v/>
      </c>
      <c r="I98" s="21" t="str">
        <f aca="true">IF($A98="","",IF(H98&lt;=0,"Paid",IF(F98&lt;TODAY(),"OVERDUE",IF(G98&gt;0,"Part paid","Open"))))</f>
        <v/>
      </c>
      <c r="J98" s="22" t="str">
        <f aca="true">IF($A98="","",IF(AND(H98&gt;0,F98&lt;TODAY()),TODAY()-F98,0))</f>
        <v/>
      </c>
    </row>
    <row r="99" customFormat="false" ht="15" hidden="false" customHeight="false" outlineLevel="0" collapsed="false">
      <c r="A99" s="5"/>
      <c r="B99" s="19"/>
      <c r="C99" s="5"/>
      <c r="D99" s="5"/>
      <c r="E99" s="4"/>
      <c r="F99" s="19"/>
      <c r="G99" s="16" t="str">
        <f aca="false">IF($A99="","",SUMIFS('Cash Book'!$D$5:$D$504,'Cash Book'!$G$5:$G$504,$A99))</f>
        <v/>
      </c>
      <c r="H99" s="16" t="str">
        <f aca="false">IF($A99="","",E99-G99)</f>
        <v/>
      </c>
      <c r="I99" s="21" t="str">
        <f aca="true">IF($A99="","",IF(H99&lt;=0,"Paid",IF(F99&lt;TODAY(),"OVERDUE",IF(G99&gt;0,"Part paid","Open"))))</f>
        <v/>
      </c>
      <c r="J99" s="22" t="str">
        <f aca="true">IF($A99="","",IF(AND(H99&gt;0,F99&lt;TODAY()),TODAY()-F99,0))</f>
        <v/>
      </c>
    </row>
    <row r="100" customFormat="false" ht="15" hidden="false" customHeight="false" outlineLevel="0" collapsed="false">
      <c r="A100" s="5"/>
      <c r="B100" s="19"/>
      <c r="C100" s="5"/>
      <c r="D100" s="5"/>
      <c r="E100" s="4"/>
      <c r="F100" s="19"/>
      <c r="G100" s="16" t="str">
        <f aca="false">IF($A100="","",SUMIFS('Cash Book'!$D$5:$D$504,'Cash Book'!$G$5:$G$504,$A100))</f>
        <v/>
      </c>
      <c r="H100" s="16" t="str">
        <f aca="false">IF($A100="","",E100-G100)</f>
        <v/>
      </c>
      <c r="I100" s="21" t="str">
        <f aca="true">IF($A100="","",IF(H100&lt;=0,"Paid",IF(F100&lt;TODAY(),"OVERDUE",IF(G100&gt;0,"Part paid","Open"))))</f>
        <v/>
      </c>
      <c r="J100" s="22" t="str">
        <f aca="true">IF($A100="","",IF(AND(H100&gt;0,F100&lt;TODAY()),TODAY()-F100,0))</f>
        <v/>
      </c>
    </row>
    <row r="101" customFormat="false" ht="15" hidden="false" customHeight="false" outlineLevel="0" collapsed="false">
      <c r="A101" s="5"/>
      <c r="B101" s="19"/>
      <c r="C101" s="5"/>
      <c r="D101" s="5"/>
      <c r="E101" s="4"/>
      <c r="F101" s="19"/>
      <c r="G101" s="16" t="str">
        <f aca="false">IF($A101="","",SUMIFS('Cash Book'!$D$5:$D$504,'Cash Book'!$G$5:$G$504,$A101))</f>
        <v/>
      </c>
      <c r="H101" s="16" t="str">
        <f aca="false">IF($A101="","",E101-G101)</f>
        <v/>
      </c>
      <c r="I101" s="21" t="str">
        <f aca="true">IF($A101="","",IF(H101&lt;=0,"Paid",IF(F101&lt;TODAY(),"OVERDUE",IF(G101&gt;0,"Part paid","Open"))))</f>
        <v/>
      </c>
      <c r="J101" s="22" t="str">
        <f aca="true">IF($A101="","",IF(AND(H101&gt;0,F101&lt;TODAY()),TODAY()-F101,0))</f>
        <v/>
      </c>
    </row>
    <row r="102" customFormat="false" ht="15" hidden="false" customHeight="false" outlineLevel="0" collapsed="false">
      <c r="A102" s="5"/>
      <c r="B102" s="19"/>
      <c r="C102" s="5"/>
      <c r="D102" s="5"/>
      <c r="E102" s="4"/>
      <c r="F102" s="19"/>
      <c r="G102" s="16" t="str">
        <f aca="false">IF($A102="","",SUMIFS('Cash Book'!$D$5:$D$504,'Cash Book'!$G$5:$G$504,$A102))</f>
        <v/>
      </c>
      <c r="H102" s="16" t="str">
        <f aca="false">IF($A102="","",E102-G102)</f>
        <v/>
      </c>
      <c r="I102" s="21" t="str">
        <f aca="true">IF($A102="","",IF(H102&lt;=0,"Paid",IF(F102&lt;TODAY(),"OVERDUE",IF(G102&gt;0,"Part paid","Open"))))</f>
        <v/>
      </c>
      <c r="J102" s="22" t="str">
        <f aca="true">IF($A102="","",IF(AND(H102&gt;0,F102&lt;TODAY()),TODAY()-F102,0))</f>
        <v/>
      </c>
    </row>
    <row r="103" customFormat="false" ht="15" hidden="false" customHeight="false" outlineLevel="0" collapsed="false">
      <c r="A103" s="5"/>
      <c r="B103" s="19"/>
      <c r="C103" s="5"/>
      <c r="D103" s="5"/>
      <c r="E103" s="4"/>
      <c r="F103" s="19"/>
      <c r="G103" s="16" t="str">
        <f aca="false">IF($A103="","",SUMIFS('Cash Book'!$D$5:$D$504,'Cash Book'!$G$5:$G$504,$A103))</f>
        <v/>
      </c>
      <c r="H103" s="16" t="str">
        <f aca="false">IF($A103="","",E103-G103)</f>
        <v/>
      </c>
      <c r="I103" s="21" t="str">
        <f aca="true">IF($A103="","",IF(H103&lt;=0,"Paid",IF(F103&lt;TODAY(),"OVERDUE",IF(G103&gt;0,"Part paid","Open"))))</f>
        <v/>
      </c>
      <c r="J103" s="22" t="str">
        <f aca="true">IF($A103="","",IF(AND(H103&gt;0,F103&lt;TODAY()),TODAY()-F103,0))</f>
        <v/>
      </c>
    </row>
    <row r="104" customFormat="false" ht="15" hidden="false" customHeight="false" outlineLevel="0" collapsed="false">
      <c r="A104" s="5"/>
      <c r="B104" s="19"/>
      <c r="C104" s="5"/>
      <c r="D104" s="5"/>
      <c r="E104" s="4"/>
      <c r="F104" s="19"/>
      <c r="G104" s="16" t="str">
        <f aca="false">IF($A104="","",SUMIFS('Cash Book'!$D$5:$D$504,'Cash Book'!$G$5:$G$504,$A104))</f>
        <v/>
      </c>
      <c r="H104" s="16" t="str">
        <f aca="false">IF($A104="","",E104-G104)</f>
        <v/>
      </c>
      <c r="I104" s="21" t="str">
        <f aca="true">IF($A104="","",IF(H104&lt;=0,"Paid",IF(F104&lt;TODAY(),"OVERDUE",IF(G104&gt;0,"Part paid","Open"))))</f>
        <v/>
      </c>
      <c r="J104" s="22" t="str">
        <f aca="true">IF($A104="","",IF(AND(H104&gt;0,F104&lt;TODAY()),TODAY()-F104,0))</f>
        <v/>
      </c>
    </row>
    <row r="105" customFormat="false" ht="15" hidden="false" customHeight="false" outlineLevel="0" collapsed="false">
      <c r="A105" s="5"/>
      <c r="B105" s="19"/>
      <c r="C105" s="5"/>
      <c r="D105" s="5"/>
      <c r="E105" s="4"/>
      <c r="F105" s="19"/>
      <c r="G105" s="16" t="str">
        <f aca="false">IF($A105="","",SUMIFS('Cash Book'!$D$5:$D$504,'Cash Book'!$G$5:$G$504,$A105))</f>
        <v/>
      </c>
      <c r="H105" s="16" t="str">
        <f aca="false">IF($A105="","",E105-G105)</f>
        <v/>
      </c>
      <c r="I105" s="21" t="str">
        <f aca="true">IF($A105="","",IF(H105&lt;=0,"Paid",IF(F105&lt;TODAY(),"OVERDUE",IF(G105&gt;0,"Part paid","Open"))))</f>
        <v/>
      </c>
      <c r="J105" s="22" t="str">
        <f aca="true">IF($A105="","",IF(AND(H105&gt;0,F105&lt;TODAY()),TODAY()-F105,0))</f>
        <v/>
      </c>
    </row>
    <row r="106" customFormat="false" ht="15" hidden="false" customHeight="false" outlineLevel="0" collapsed="false">
      <c r="A106" s="5"/>
      <c r="B106" s="19"/>
      <c r="C106" s="5"/>
      <c r="D106" s="5"/>
      <c r="E106" s="4"/>
      <c r="F106" s="19"/>
      <c r="G106" s="16" t="str">
        <f aca="false">IF($A106="","",SUMIFS('Cash Book'!$D$5:$D$504,'Cash Book'!$G$5:$G$504,$A106))</f>
        <v/>
      </c>
      <c r="H106" s="16" t="str">
        <f aca="false">IF($A106="","",E106-G106)</f>
        <v/>
      </c>
      <c r="I106" s="21" t="str">
        <f aca="true">IF($A106="","",IF(H106&lt;=0,"Paid",IF(F106&lt;TODAY(),"OVERDUE",IF(G106&gt;0,"Part paid","Open"))))</f>
        <v/>
      </c>
      <c r="J106" s="22" t="str">
        <f aca="true">IF($A106="","",IF(AND(H106&gt;0,F106&lt;TODAY()),TODAY()-F106,0))</f>
        <v/>
      </c>
    </row>
    <row r="107" customFormat="false" ht="15" hidden="false" customHeight="false" outlineLevel="0" collapsed="false">
      <c r="A107" s="5"/>
      <c r="B107" s="19"/>
      <c r="C107" s="5"/>
      <c r="D107" s="5"/>
      <c r="E107" s="4"/>
      <c r="F107" s="19"/>
      <c r="G107" s="16" t="str">
        <f aca="false">IF($A107="","",SUMIFS('Cash Book'!$D$5:$D$504,'Cash Book'!$G$5:$G$504,$A107))</f>
        <v/>
      </c>
      <c r="H107" s="16" t="str">
        <f aca="false">IF($A107="","",E107-G107)</f>
        <v/>
      </c>
      <c r="I107" s="21" t="str">
        <f aca="true">IF($A107="","",IF(H107&lt;=0,"Paid",IF(F107&lt;TODAY(),"OVERDUE",IF(G107&gt;0,"Part paid","Open"))))</f>
        <v/>
      </c>
      <c r="J107" s="22" t="str">
        <f aca="true">IF($A107="","",IF(AND(H107&gt;0,F107&lt;TODAY()),TODAY()-F107,0))</f>
        <v/>
      </c>
    </row>
    <row r="108" customFormat="false" ht="15" hidden="false" customHeight="false" outlineLevel="0" collapsed="false">
      <c r="A108" s="5"/>
      <c r="B108" s="19"/>
      <c r="C108" s="5"/>
      <c r="D108" s="5"/>
      <c r="E108" s="4"/>
      <c r="F108" s="19"/>
      <c r="G108" s="16" t="str">
        <f aca="false">IF($A108="","",SUMIFS('Cash Book'!$D$5:$D$504,'Cash Book'!$G$5:$G$504,$A108))</f>
        <v/>
      </c>
      <c r="H108" s="16" t="str">
        <f aca="false">IF($A108="","",E108-G108)</f>
        <v/>
      </c>
      <c r="I108" s="21" t="str">
        <f aca="true">IF($A108="","",IF(H108&lt;=0,"Paid",IF(F108&lt;TODAY(),"OVERDUE",IF(G108&gt;0,"Part paid","Open"))))</f>
        <v/>
      </c>
      <c r="J108" s="22" t="str">
        <f aca="true">IF($A108="","",IF(AND(H108&gt;0,F108&lt;TODAY()),TODAY()-F108,0))</f>
        <v/>
      </c>
    </row>
    <row r="109" customFormat="false" ht="15" hidden="false" customHeight="false" outlineLevel="0" collapsed="false">
      <c r="A109" s="5"/>
      <c r="B109" s="19"/>
      <c r="C109" s="5"/>
      <c r="D109" s="5"/>
      <c r="E109" s="4"/>
      <c r="F109" s="19"/>
      <c r="G109" s="16" t="str">
        <f aca="false">IF($A109="","",SUMIFS('Cash Book'!$D$5:$D$504,'Cash Book'!$G$5:$G$504,$A109))</f>
        <v/>
      </c>
      <c r="H109" s="16" t="str">
        <f aca="false">IF($A109="","",E109-G109)</f>
        <v/>
      </c>
      <c r="I109" s="21" t="str">
        <f aca="true">IF($A109="","",IF(H109&lt;=0,"Paid",IF(F109&lt;TODAY(),"OVERDUE",IF(G109&gt;0,"Part paid","Open"))))</f>
        <v/>
      </c>
      <c r="J109" s="22" t="str">
        <f aca="true">IF($A109="","",IF(AND(H109&gt;0,F109&lt;TODAY()),TODAY()-F109,0))</f>
        <v/>
      </c>
    </row>
    <row r="110" customFormat="false" ht="15" hidden="false" customHeight="false" outlineLevel="0" collapsed="false">
      <c r="A110" s="5"/>
      <c r="B110" s="19"/>
      <c r="C110" s="5"/>
      <c r="D110" s="5"/>
      <c r="E110" s="4"/>
      <c r="F110" s="19"/>
      <c r="G110" s="16" t="str">
        <f aca="false">IF($A110="","",SUMIFS('Cash Book'!$D$5:$D$504,'Cash Book'!$G$5:$G$504,$A110))</f>
        <v/>
      </c>
      <c r="H110" s="16" t="str">
        <f aca="false">IF($A110="","",E110-G110)</f>
        <v/>
      </c>
      <c r="I110" s="21" t="str">
        <f aca="true">IF($A110="","",IF(H110&lt;=0,"Paid",IF(F110&lt;TODAY(),"OVERDUE",IF(G110&gt;0,"Part paid","Open"))))</f>
        <v/>
      </c>
      <c r="J110" s="22" t="str">
        <f aca="true">IF($A110="","",IF(AND(H110&gt;0,F110&lt;TODAY()),TODAY()-F110,0))</f>
        <v/>
      </c>
    </row>
    <row r="111" customFormat="false" ht="15" hidden="false" customHeight="false" outlineLevel="0" collapsed="false">
      <c r="A111" s="5"/>
      <c r="B111" s="19"/>
      <c r="C111" s="5"/>
      <c r="D111" s="5"/>
      <c r="E111" s="4"/>
      <c r="F111" s="19"/>
      <c r="G111" s="16" t="str">
        <f aca="false">IF($A111="","",SUMIFS('Cash Book'!$D$5:$D$504,'Cash Book'!$G$5:$G$504,$A111))</f>
        <v/>
      </c>
      <c r="H111" s="16" t="str">
        <f aca="false">IF($A111="","",E111-G111)</f>
        <v/>
      </c>
      <c r="I111" s="21" t="str">
        <f aca="true">IF($A111="","",IF(H111&lt;=0,"Paid",IF(F111&lt;TODAY(),"OVERDUE",IF(G111&gt;0,"Part paid","Open"))))</f>
        <v/>
      </c>
      <c r="J111" s="22" t="str">
        <f aca="true">IF($A111="","",IF(AND(H111&gt;0,F111&lt;TODAY()),TODAY()-F111,0))</f>
        <v/>
      </c>
    </row>
    <row r="112" customFormat="false" ht="15" hidden="false" customHeight="false" outlineLevel="0" collapsed="false">
      <c r="A112" s="5"/>
      <c r="B112" s="19"/>
      <c r="C112" s="5"/>
      <c r="D112" s="5"/>
      <c r="E112" s="4"/>
      <c r="F112" s="19"/>
      <c r="G112" s="16" t="str">
        <f aca="false">IF($A112="","",SUMIFS('Cash Book'!$D$5:$D$504,'Cash Book'!$G$5:$G$504,$A112))</f>
        <v/>
      </c>
      <c r="H112" s="16" t="str">
        <f aca="false">IF($A112="","",E112-G112)</f>
        <v/>
      </c>
      <c r="I112" s="21" t="str">
        <f aca="true">IF($A112="","",IF(H112&lt;=0,"Paid",IF(F112&lt;TODAY(),"OVERDUE",IF(G112&gt;0,"Part paid","Open"))))</f>
        <v/>
      </c>
      <c r="J112" s="22" t="str">
        <f aca="true">IF($A112="","",IF(AND(H112&gt;0,F112&lt;TODAY()),TODAY()-F112,0))</f>
        <v/>
      </c>
    </row>
    <row r="113" customFormat="false" ht="15" hidden="false" customHeight="false" outlineLevel="0" collapsed="false">
      <c r="A113" s="5"/>
      <c r="B113" s="19"/>
      <c r="C113" s="5"/>
      <c r="D113" s="5"/>
      <c r="E113" s="4"/>
      <c r="F113" s="19"/>
      <c r="G113" s="16" t="str">
        <f aca="false">IF($A113="","",SUMIFS('Cash Book'!$D$5:$D$504,'Cash Book'!$G$5:$G$504,$A113))</f>
        <v/>
      </c>
      <c r="H113" s="16" t="str">
        <f aca="false">IF($A113="","",E113-G113)</f>
        <v/>
      </c>
      <c r="I113" s="21" t="str">
        <f aca="true">IF($A113="","",IF(H113&lt;=0,"Paid",IF(F113&lt;TODAY(),"OVERDUE",IF(G113&gt;0,"Part paid","Open"))))</f>
        <v/>
      </c>
      <c r="J113" s="22" t="str">
        <f aca="true">IF($A113="","",IF(AND(H113&gt;0,F113&lt;TODAY()),TODAY()-F113,0))</f>
        <v/>
      </c>
    </row>
    <row r="114" customFormat="false" ht="15" hidden="false" customHeight="false" outlineLevel="0" collapsed="false">
      <c r="A114" s="5"/>
      <c r="B114" s="19"/>
      <c r="C114" s="5"/>
      <c r="D114" s="5"/>
      <c r="E114" s="4"/>
      <c r="F114" s="19"/>
      <c r="G114" s="16" t="str">
        <f aca="false">IF($A114="","",SUMIFS('Cash Book'!$D$5:$D$504,'Cash Book'!$G$5:$G$504,$A114))</f>
        <v/>
      </c>
      <c r="H114" s="16" t="str">
        <f aca="false">IF($A114="","",E114-G114)</f>
        <v/>
      </c>
      <c r="I114" s="21" t="str">
        <f aca="true">IF($A114="","",IF(H114&lt;=0,"Paid",IF(F114&lt;TODAY(),"OVERDUE",IF(G114&gt;0,"Part paid","Open"))))</f>
        <v/>
      </c>
      <c r="J114" s="22" t="str">
        <f aca="true">IF($A114="","",IF(AND(H114&gt;0,F114&lt;TODAY()),TODAY()-F114,0))</f>
        <v/>
      </c>
    </row>
    <row r="115" customFormat="false" ht="15" hidden="false" customHeight="false" outlineLevel="0" collapsed="false">
      <c r="A115" s="5"/>
      <c r="B115" s="19"/>
      <c r="C115" s="5"/>
      <c r="D115" s="5"/>
      <c r="E115" s="4"/>
      <c r="F115" s="19"/>
      <c r="G115" s="16" t="str">
        <f aca="false">IF($A115="","",SUMIFS('Cash Book'!$D$5:$D$504,'Cash Book'!$G$5:$G$504,$A115))</f>
        <v/>
      </c>
      <c r="H115" s="16" t="str">
        <f aca="false">IF($A115="","",E115-G115)</f>
        <v/>
      </c>
      <c r="I115" s="21" t="str">
        <f aca="true">IF($A115="","",IF(H115&lt;=0,"Paid",IF(F115&lt;TODAY(),"OVERDUE",IF(G115&gt;0,"Part paid","Open"))))</f>
        <v/>
      </c>
      <c r="J115" s="22" t="str">
        <f aca="true">IF($A115="","",IF(AND(H115&gt;0,F115&lt;TODAY()),TODAY()-F115,0))</f>
        <v/>
      </c>
    </row>
    <row r="116" customFormat="false" ht="15" hidden="false" customHeight="false" outlineLevel="0" collapsed="false">
      <c r="A116" s="5"/>
      <c r="B116" s="19"/>
      <c r="C116" s="5"/>
      <c r="D116" s="5"/>
      <c r="E116" s="4"/>
      <c r="F116" s="19"/>
      <c r="G116" s="16" t="str">
        <f aca="false">IF($A116="","",SUMIFS('Cash Book'!$D$5:$D$504,'Cash Book'!$G$5:$G$504,$A116))</f>
        <v/>
      </c>
      <c r="H116" s="16" t="str">
        <f aca="false">IF($A116="","",E116-G116)</f>
        <v/>
      </c>
      <c r="I116" s="21" t="str">
        <f aca="true">IF($A116="","",IF(H116&lt;=0,"Paid",IF(F116&lt;TODAY(),"OVERDUE",IF(G116&gt;0,"Part paid","Open"))))</f>
        <v/>
      </c>
      <c r="J116" s="22" t="str">
        <f aca="true">IF($A116="","",IF(AND(H116&gt;0,F116&lt;TODAY()),TODAY()-F116,0))</f>
        <v/>
      </c>
    </row>
    <row r="117" customFormat="false" ht="15" hidden="false" customHeight="false" outlineLevel="0" collapsed="false">
      <c r="A117" s="5"/>
      <c r="B117" s="19"/>
      <c r="C117" s="5"/>
      <c r="D117" s="5"/>
      <c r="E117" s="4"/>
      <c r="F117" s="19"/>
      <c r="G117" s="16" t="str">
        <f aca="false">IF($A117="","",SUMIFS('Cash Book'!$D$5:$D$504,'Cash Book'!$G$5:$G$504,$A117))</f>
        <v/>
      </c>
      <c r="H117" s="16" t="str">
        <f aca="false">IF($A117="","",E117-G117)</f>
        <v/>
      </c>
      <c r="I117" s="21" t="str">
        <f aca="true">IF($A117="","",IF(H117&lt;=0,"Paid",IF(F117&lt;TODAY(),"OVERDUE",IF(G117&gt;0,"Part paid","Open"))))</f>
        <v/>
      </c>
      <c r="J117" s="22" t="str">
        <f aca="true">IF($A117="","",IF(AND(H117&gt;0,F117&lt;TODAY()),TODAY()-F117,0))</f>
        <v/>
      </c>
    </row>
    <row r="118" customFormat="false" ht="15" hidden="false" customHeight="false" outlineLevel="0" collapsed="false">
      <c r="A118" s="5"/>
      <c r="B118" s="19"/>
      <c r="C118" s="5"/>
      <c r="D118" s="5"/>
      <c r="E118" s="4"/>
      <c r="F118" s="19"/>
      <c r="G118" s="16" t="str">
        <f aca="false">IF($A118="","",SUMIFS('Cash Book'!$D$5:$D$504,'Cash Book'!$G$5:$G$504,$A118))</f>
        <v/>
      </c>
      <c r="H118" s="16" t="str">
        <f aca="false">IF($A118="","",E118-G118)</f>
        <v/>
      </c>
      <c r="I118" s="21" t="str">
        <f aca="true">IF($A118="","",IF(H118&lt;=0,"Paid",IF(F118&lt;TODAY(),"OVERDUE",IF(G118&gt;0,"Part paid","Open"))))</f>
        <v/>
      </c>
      <c r="J118" s="22" t="str">
        <f aca="true">IF($A118="","",IF(AND(H118&gt;0,F118&lt;TODAY()),TODAY()-F118,0))</f>
        <v/>
      </c>
    </row>
    <row r="119" customFormat="false" ht="15" hidden="false" customHeight="false" outlineLevel="0" collapsed="false">
      <c r="A119" s="5"/>
      <c r="B119" s="19"/>
      <c r="C119" s="5"/>
      <c r="D119" s="5"/>
      <c r="E119" s="4"/>
      <c r="F119" s="19"/>
      <c r="G119" s="16" t="str">
        <f aca="false">IF($A119="","",SUMIFS('Cash Book'!$D$5:$D$504,'Cash Book'!$G$5:$G$504,$A119))</f>
        <v/>
      </c>
      <c r="H119" s="16" t="str">
        <f aca="false">IF($A119="","",E119-G119)</f>
        <v/>
      </c>
      <c r="I119" s="21" t="str">
        <f aca="true">IF($A119="","",IF(H119&lt;=0,"Paid",IF(F119&lt;TODAY(),"OVERDUE",IF(G119&gt;0,"Part paid","Open"))))</f>
        <v/>
      </c>
      <c r="J119" s="22" t="str">
        <f aca="true">IF($A119="","",IF(AND(H119&gt;0,F119&lt;TODAY()),TODAY()-F119,0))</f>
        <v/>
      </c>
    </row>
    <row r="120" customFormat="false" ht="15" hidden="false" customHeight="false" outlineLevel="0" collapsed="false">
      <c r="A120" s="5"/>
      <c r="B120" s="19"/>
      <c r="C120" s="5"/>
      <c r="D120" s="5"/>
      <c r="E120" s="4"/>
      <c r="F120" s="19"/>
      <c r="G120" s="16" t="str">
        <f aca="false">IF($A120="","",SUMIFS('Cash Book'!$D$5:$D$504,'Cash Book'!$G$5:$G$504,$A120))</f>
        <v/>
      </c>
      <c r="H120" s="16" t="str">
        <f aca="false">IF($A120="","",E120-G120)</f>
        <v/>
      </c>
      <c r="I120" s="21" t="str">
        <f aca="true">IF($A120="","",IF(H120&lt;=0,"Paid",IF(F120&lt;TODAY(),"OVERDUE",IF(G120&gt;0,"Part paid","Open"))))</f>
        <v/>
      </c>
      <c r="J120" s="22" t="str">
        <f aca="true">IF($A120="","",IF(AND(H120&gt;0,F120&lt;TODAY()),TODAY()-F120,0))</f>
        <v/>
      </c>
    </row>
    <row r="121" customFormat="false" ht="15" hidden="false" customHeight="false" outlineLevel="0" collapsed="false">
      <c r="A121" s="5"/>
      <c r="B121" s="19"/>
      <c r="C121" s="5"/>
      <c r="D121" s="5"/>
      <c r="E121" s="4"/>
      <c r="F121" s="19"/>
      <c r="G121" s="16" t="str">
        <f aca="false">IF($A121="","",SUMIFS('Cash Book'!$D$5:$D$504,'Cash Book'!$G$5:$G$504,$A121))</f>
        <v/>
      </c>
      <c r="H121" s="16" t="str">
        <f aca="false">IF($A121="","",E121-G121)</f>
        <v/>
      </c>
      <c r="I121" s="21" t="str">
        <f aca="true">IF($A121="","",IF(H121&lt;=0,"Paid",IF(F121&lt;TODAY(),"OVERDUE",IF(G121&gt;0,"Part paid","Open"))))</f>
        <v/>
      </c>
      <c r="J121" s="22" t="str">
        <f aca="true">IF($A121="","",IF(AND(H121&gt;0,F121&lt;TODAY()),TODAY()-F121,0))</f>
        <v/>
      </c>
    </row>
    <row r="122" customFormat="false" ht="15" hidden="false" customHeight="false" outlineLevel="0" collapsed="false">
      <c r="A122" s="5"/>
      <c r="B122" s="19"/>
      <c r="C122" s="5"/>
      <c r="D122" s="5"/>
      <c r="E122" s="4"/>
      <c r="F122" s="19"/>
      <c r="G122" s="16" t="str">
        <f aca="false">IF($A122="","",SUMIFS('Cash Book'!$D$5:$D$504,'Cash Book'!$G$5:$G$504,$A122))</f>
        <v/>
      </c>
      <c r="H122" s="16" t="str">
        <f aca="false">IF($A122="","",E122-G122)</f>
        <v/>
      </c>
      <c r="I122" s="21" t="str">
        <f aca="true">IF($A122="","",IF(H122&lt;=0,"Paid",IF(F122&lt;TODAY(),"OVERDUE",IF(G122&gt;0,"Part paid","Open"))))</f>
        <v/>
      </c>
      <c r="J122" s="22" t="str">
        <f aca="true">IF($A122="","",IF(AND(H122&gt;0,F122&lt;TODAY()),TODAY()-F122,0))</f>
        <v/>
      </c>
    </row>
    <row r="123" customFormat="false" ht="15" hidden="false" customHeight="false" outlineLevel="0" collapsed="false">
      <c r="A123" s="5"/>
      <c r="B123" s="19"/>
      <c r="C123" s="5"/>
      <c r="D123" s="5"/>
      <c r="E123" s="4"/>
      <c r="F123" s="19"/>
      <c r="G123" s="16" t="str">
        <f aca="false">IF($A123="","",SUMIFS('Cash Book'!$D$5:$D$504,'Cash Book'!$G$5:$G$504,$A123))</f>
        <v/>
      </c>
      <c r="H123" s="16" t="str">
        <f aca="false">IF($A123="","",E123-G123)</f>
        <v/>
      </c>
      <c r="I123" s="21" t="str">
        <f aca="true">IF($A123="","",IF(H123&lt;=0,"Paid",IF(F123&lt;TODAY(),"OVERDUE",IF(G123&gt;0,"Part paid","Open"))))</f>
        <v/>
      </c>
      <c r="J123" s="22" t="str">
        <f aca="true">IF($A123="","",IF(AND(H123&gt;0,F123&lt;TODAY()),TODAY()-F123,0))</f>
        <v/>
      </c>
    </row>
    <row r="124" customFormat="false" ht="15" hidden="false" customHeight="false" outlineLevel="0" collapsed="false">
      <c r="A124" s="5"/>
      <c r="B124" s="19"/>
      <c r="C124" s="5"/>
      <c r="D124" s="5"/>
      <c r="E124" s="4"/>
      <c r="F124" s="19"/>
      <c r="G124" s="16" t="str">
        <f aca="false">IF($A124="","",SUMIFS('Cash Book'!$D$5:$D$504,'Cash Book'!$G$5:$G$504,$A124))</f>
        <v/>
      </c>
      <c r="H124" s="16" t="str">
        <f aca="false">IF($A124="","",E124-G124)</f>
        <v/>
      </c>
      <c r="I124" s="21" t="str">
        <f aca="true">IF($A124="","",IF(H124&lt;=0,"Paid",IF(F124&lt;TODAY(),"OVERDUE",IF(G124&gt;0,"Part paid","Open"))))</f>
        <v/>
      </c>
      <c r="J124" s="22" t="str">
        <f aca="true">IF($A124="","",IF(AND(H124&gt;0,F124&lt;TODAY()),TODAY()-F124,0))</f>
        <v/>
      </c>
    </row>
    <row r="125" customFormat="false" ht="15" hidden="false" customHeight="false" outlineLevel="0" collapsed="false">
      <c r="A125" s="5"/>
      <c r="B125" s="19"/>
      <c r="C125" s="5"/>
      <c r="D125" s="5"/>
      <c r="E125" s="4"/>
      <c r="F125" s="19"/>
      <c r="G125" s="16" t="str">
        <f aca="false">IF($A125="","",SUMIFS('Cash Book'!$D$5:$D$504,'Cash Book'!$G$5:$G$504,$A125))</f>
        <v/>
      </c>
      <c r="H125" s="16" t="str">
        <f aca="false">IF($A125="","",E125-G125)</f>
        <v/>
      </c>
      <c r="I125" s="21" t="str">
        <f aca="true">IF($A125="","",IF(H125&lt;=0,"Paid",IF(F125&lt;TODAY(),"OVERDUE",IF(G125&gt;0,"Part paid","Open"))))</f>
        <v/>
      </c>
      <c r="J125" s="22" t="str">
        <f aca="true">IF($A125="","",IF(AND(H125&gt;0,F125&lt;TODAY()),TODAY()-F125,0))</f>
        <v/>
      </c>
    </row>
    <row r="126" customFormat="false" ht="15" hidden="false" customHeight="false" outlineLevel="0" collapsed="false">
      <c r="A126" s="5"/>
      <c r="B126" s="19"/>
      <c r="C126" s="5"/>
      <c r="D126" s="5"/>
      <c r="E126" s="4"/>
      <c r="F126" s="19"/>
      <c r="G126" s="16" t="str">
        <f aca="false">IF($A126="","",SUMIFS('Cash Book'!$D$5:$D$504,'Cash Book'!$G$5:$G$504,$A126))</f>
        <v/>
      </c>
      <c r="H126" s="16" t="str">
        <f aca="false">IF($A126="","",E126-G126)</f>
        <v/>
      </c>
      <c r="I126" s="21" t="str">
        <f aca="true">IF($A126="","",IF(H126&lt;=0,"Paid",IF(F126&lt;TODAY(),"OVERDUE",IF(G126&gt;0,"Part paid","Open"))))</f>
        <v/>
      </c>
      <c r="J126" s="22" t="str">
        <f aca="true">IF($A126="","",IF(AND(H126&gt;0,F126&lt;TODAY()),TODAY()-F126,0))</f>
        <v/>
      </c>
    </row>
    <row r="127" customFormat="false" ht="15" hidden="false" customHeight="false" outlineLevel="0" collapsed="false">
      <c r="A127" s="5"/>
      <c r="B127" s="19"/>
      <c r="C127" s="5"/>
      <c r="D127" s="5"/>
      <c r="E127" s="4"/>
      <c r="F127" s="19"/>
      <c r="G127" s="16" t="str">
        <f aca="false">IF($A127="","",SUMIFS('Cash Book'!$D$5:$D$504,'Cash Book'!$G$5:$G$504,$A127))</f>
        <v/>
      </c>
      <c r="H127" s="16" t="str">
        <f aca="false">IF($A127="","",E127-G127)</f>
        <v/>
      </c>
      <c r="I127" s="21" t="str">
        <f aca="true">IF($A127="","",IF(H127&lt;=0,"Paid",IF(F127&lt;TODAY(),"OVERDUE",IF(G127&gt;0,"Part paid","Open"))))</f>
        <v/>
      </c>
      <c r="J127" s="22" t="str">
        <f aca="true">IF($A127="","",IF(AND(H127&gt;0,F127&lt;TODAY()),TODAY()-F127,0))</f>
        <v/>
      </c>
    </row>
    <row r="128" customFormat="false" ht="15" hidden="false" customHeight="false" outlineLevel="0" collapsed="false">
      <c r="A128" s="5"/>
      <c r="B128" s="19"/>
      <c r="C128" s="5"/>
      <c r="D128" s="5"/>
      <c r="E128" s="4"/>
      <c r="F128" s="19"/>
      <c r="G128" s="16" t="str">
        <f aca="false">IF($A128="","",SUMIFS('Cash Book'!$D$5:$D$504,'Cash Book'!$G$5:$G$504,$A128))</f>
        <v/>
      </c>
      <c r="H128" s="16" t="str">
        <f aca="false">IF($A128="","",E128-G128)</f>
        <v/>
      </c>
      <c r="I128" s="21" t="str">
        <f aca="true">IF($A128="","",IF(H128&lt;=0,"Paid",IF(F128&lt;TODAY(),"OVERDUE",IF(G128&gt;0,"Part paid","Open"))))</f>
        <v/>
      </c>
      <c r="J128" s="22" t="str">
        <f aca="true">IF($A128="","",IF(AND(H128&gt;0,F128&lt;TODAY()),TODAY()-F128,0))</f>
        <v/>
      </c>
    </row>
    <row r="129" customFormat="false" ht="15" hidden="false" customHeight="false" outlineLevel="0" collapsed="false">
      <c r="A129" s="5"/>
      <c r="B129" s="19"/>
      <c r="C129" s="5"/>
      <c r="D129" s="5"/>
      <c r="E129" s="4"/>
      <c r="F129" s="19"/>
      <c r="G129" s="16" t="str">
        <f aca="false">IF($A129="","",SUMIFS('Cash Book'!$D$5:$D$504,'Cash Book'!$G$5:$G$504,$A129))</f>
        <v/>
      </c>
      <c r="H129" s="16" t="str">
        <f aca="false">IF($A129="","",E129-G129)</f>
        <v/>
      </c>
      <c r="I129" s="21" t="str">
        <f aca="true">IF($A129="","",IF(H129&lt;=0,"Paid",IF(F129&lt;TODAY(),"OVERDUE",IF(G129&gt;0,"Part paid","Open"))))</f>
        <v/>
      </c>
      <c r="J129" s="22" t="str">
        <f aca="true">IF($A129="","",IF(AND(H129&gt;0,F129&lt;TODAY()),TODAY()-F129,0))</f>
        <v/>
      </c>
    </row>
    <row r="130" customFormat="false" ht="15" hidden="false" customHeight="false" outlineLevel="0" collapsed="false">
      <c r="A130" s="5"/>
      <c r="B130" s="19"/>
      <c r="C130" s="5"/>
      <c r="D130" s="5"/>
      <c r="E130" s="4"/>
      <c r="F130" s="19"/>
      <c r="G130" s="16" t="str">
        <f aca="false">IF($A130="","",SUMIFS('Cash Book'!$D$5:$D$504,'Cash Book'!$G$5:$G$504,$A130))</f>
        <v/>
      </c>
      <c r="H130" s="16" t="str">
        <f aca="false">IF($A130="","",E130-G130)</f>
        <v/>
      </c>
      <c r="I130" s="21" t="str">
        <f aca="true">IF($A130="","",IF(H130&lt;=0,"Paid",IF(F130&lt;TODAY(),"OVERDUE",IF(G130&gt;0,"Part paid","Open"))))</f>
        <v/>
      </c>
      <c r="J130" s="22" t="str">
        <f aca="true">IF($A130="","",IF(AND(H130&gt;0,F130&lt;TODAY()),TODAY()-F130,0))</f>
        <v/>
      </c>
    </row>
    <row r="131" customFormat="false" ht="15" hidden="false" customHeight="false" outlineLevel="0" collapsed="false">
      <c r="A131" s="5"/>
      <c r="B131" s="19"/>
      <c r="C131" s="5"/>
      <c r="D131" s="5"/>
      <c r="E131" s="4"/>
      <c r="F131" s="19"/>
      <c r="G131" s="16" t="str">
        <f aca="false">IF($A131="","",SUMIFS('Cash Book'!$D$5:$D$504,'Cash Book'!$G$5:$G$504,$A131))</f>
        <v/>
      </c>
      <c r="H131" s="16" t="str">
        <f aca="false">IF($A131="","",E131-G131)</f>
        <v/>
      </c>
      <c r="I131" s="21" t="str">
        <f aca="true">IF($A131="","",IF(H131&lt;=0,"Paid",IF(F131&lt;TODAY(),"OVERDUE",IF(G131&gt;0,"Part paid","Open"))))</f>
        <v/>
      </c>
      <c r="J131" s="22" t="str">
        <f aca="true">IF($A131="","",IF(AND(H131&gt;0,F131&lt;TODAY()),TODAY()-F131,0))</f>
        <v/>
      </c>
    </row>
    <row r="132" customFormat="false" ht="15" hidden="false" customHeight="false" outlineLevel="0" collapsed="false">
      <c r="A132" s="5"/>
      <c r="B132" s="19"/>
      <c r="C132" s="5"/>
      <c r="D132" s="5"/>
      <c r="E132" s="4"/>
      <c r="F132" s="19"/>
      <c r="G132" s="16" t="str">
        <f aca="false">IF($A132="","",SUMIFS('Cash Book'!$D$5:$D$504,'Cash Book'!$G$5:$G$504,$A132))</f>
        <v/>
      </c>
      <c r="H132" s="16" t="str">
        <f aca="false">IF($A132="","",E132-G132)</f>
        <v/>
      </c>
      <c r="I132" s="21" t="str">
        <f aca="true">IF($A132="","",IF(H132&lt;=0,"Paid",IF(F132&lt;TODAY(),"OVERDUE",IF(G132&gt;0,"Part paid","Open"))))</f>
        <v/>
      </c>
      <c r="J132" s="22" t="str">
        <f aca="true">IF($A132="","",IF(AND(H132&gt;0,F132&lt;TODAY()),TODAY()-F132,0))</f>
        <v/>
      </c>
    </row>
    <row r="133" customFormat="false" ht="15" hidden="false" customHeight="false" outlineLevel="0" collapsed="false">
      <c r="A133" s="5"/>
      <c r="B133" s="19"/>
      <c r="C133" s="5"/>
      <c r="D133" s="5"/>
      <c r="E133" s="4"/>
      <c r="F133" s="19"/>
      <c r="G133" s="16" t="str">
        <f aca="false">IF($A133="","",SUMIFS('Cash Book'!$D$5:$D$504,'Cash Book'!$G$5:$G$504,$A133))</f>
        <v/>
      </c>
      <c r="H133" s="16" t="str">
        <f aca="false">IF($A133="","",E133-G133)</f>
        <v/>
      </c>
      <c r="I133" s="21" t="str">
        <f aca="true">IF($A133="","",IF(H133&lt;=0,"Paid",IF(F133&lt;TODAY(),"OVERDUE",IF(G133&gt;0,"Part paid","Open"))))</f>
        <v/>
      </c>
      <c r="J133" s="22" t="str">
        <f aca="true">IF($A133="","",IF(AND(H133&gt;0,F133&lt;TODAY()),TODAY()-F133,0))</f>
        <v/>
      </c>
    </row>
    <row r="134" customFormat="false" ht="15" hidden="false" customHeight="false" outlineLevel="0" collapsed="false">
      <c r="A134" s="5"/>
      <c r="B134" s="19"/>
      <c r="C134" s="5"/>
      <c r="D134" s="5"/>
      <c r="E134" s="4"/>
      <c r="F134" s="19"/>
      <c r="G134" s="16" t="str">
        <f aca="false">IF($A134="","",SUMIFS('Cash Book'!$D$5:$D$504,'Cash Book'!$G$5:$G$504,$A134))</f>
        <v/>
      </c>
      <c r="H134" s="16" t="str">
        <f aca="false">IF($A134="","",E134-G134)</f>
        <v/>
      </c>
      <c r="I134" s="21" t="str">
        <f aca="true">IF($A134="","",IF(H134&lt;=0,"Paid",IF(F134&lt;TODAY(),"OVERDUE",IF(G134&gt;0,"Part paid","Open"))))</f>
        <v/>
      </c>
      <c r="J134" s="22" t="str">
        <f aca="true">IF($A134="","",IF(AND(H134&gt;0,F134&lt;TODAY()),TODAY()-F134,0))</f>
        <v/>
      </c>
    </row>
    <row r="135" customFormat="false" ht="15" hidden="false" customHeight="false" outlineLevel="0" collapsed="false">
      <c r="A135" s="5"/>
      <c r="B135" s="19"/>
      <c r="C135" s="5"/>
      <c r="D135" s="5"/>
      <c r="E135" s="4"/>
      <c r="F135" s="19"/>
      <c r="G135" s="16" t="str">
        <f aca="false">IF($A135="","",SUMIFS('Cash Book'!$D$5:$D$504,'Cash Book'!$G$5:$G$504,$A135))</f>
        <v/>
      </c>
      <c r="H135" s="16" t="str">
        <f aca="false">IF($A135="","",E135-G135)</f>
        <v/>
      </c>
      <c r="I135" s="21" t="str">
        <f aca="true">IF($A135="","",IF(H135&lt;=0,"Paid",IF(F135&lt;TODAY(),"OVERDUE",IF(G135&gt;0,"Part paid","Open"))))</f>
        <v/>
      </c>
      <c r="J135" s="22" t="str">
        <f aca="true">IF($A135="","",IF(AND(H135&gt;0,F135&lt;TODAY()),TODAY()-F135,0))</f>
        <v/>
      </c>
    </row>
    <row r="136" customFormat="false" ht="15" hidden="false" customHeight="false" outlineLevel="0" collapsed="false">
      <c r="A136" s="5"/>
      <c r="B136" s="19"/>
      <c r="C136" s="5"/>
      <c r="D136" s="5"/>
      <c r="E136" s="4"/>
      <c r="F136" s="19"/>
      <c r="G136" s="16" t="str">
        <f aca="false">IF($A136="","",SUMIFS('Cash Book'!$D$5:$D$504,'Cash Book'!$G$5:$G$504,$A136))</f>
        <v/>
      </c>
      <c r="H136" s="16" t="str">
        <f aca="false">IF($A136="","",E136-G136)</f>
        <v/>
      </c>
      <c r="I136" s="21" t="str">
        <f aca="true">IF($A136="","",IF(H136&lt;=0,"Paid",IF(F136&lt;TODAY(),"OVERDUE",IF(G136&gt;0,"Part paid","Open"))))</f>
        <v/>
      </c>
      <c r="J136" s="22" t="str">
        <f aca="true">IF($A136="","",IF(AND(H136&gt;0,F136&lt;TODAY()),TODAY()-F136,0))</f>
        <v/>
      </c>
    </row>
    <row r="137" customFormat="false" ht="15" hidden="false" customHeight="false" outlineLevel="0" collapsed="false">
      <c r="A137" s="5"/>
      <c r="B137" s="19"/>
      <c r="C137" s="5"/>
      <c r="D137" s="5"/>
      <c r="E137" s="4"/>
      <c r="F137" s="19"/>
      <c r="G137" s="16" t="str">
        <f aca="false">IF($A137="","",SUMIFS('Cash Book'!$D$5:$D$504,'Cash Book'!$G$5:$G$504,$A137))</f>
        <v/>
      </c>
      <c r="H137" s="16" t="str">
        <f aca="false">IF($A137="","",E137-G137)</f>
        <v/>
      </c>
      <c r="I137" s="21" t="str">
        <f aca="true">IF($A137="","",IF(H137&lt;=0,"Paid",IF(F137&lt;TODAY(),"OVERDUE",IF(G137&gt;0,"Part paid","Open"))))</f>
        <v/>
      </c>
      <c r="J137" s="22" t="str">
        <f aca="true">IF($A137="","",IF(AND(H137&gt;0,F137&lt;TODAY()),TODAY()-F137,0))</f>
        <v/>
      </c>
    </row>
    <row r="138" customFormat="false" ht="15" hidden="false" customHeight="false" outlineLevel="0" collapsed="false">
      <c r="A138" s="5"/>
      <c r="B138" s="19"/>
      <c r="C138" s="5"/>
      <c r="D138" s="5"/>
      <c r="E138" s="4"/>
      <c r="F138" s="19"/>
      <c r="G138" s="16" t="str">
        <f aca="false">IF($A138="","",SUMIFS('Cash Book'!$D$5:$D$504,'Cash Book'!$G$5:$G$504,$A138))</f>
        <v/>
      </c>
      <c r="H138" s="16" t="str">
        <f aca="false">IF($A138="","",E138-G138)</f>
        <v/>
      </c>
      <c r="I138" s="21" t="str">
        <f aca="true">IF($A138="","",IF(H138&lt;=0,"Paid",IF(F138&lt;TODAY(),"OVERDUE",IF(G138&gt;0,"Part paid","Open"))))</f>
        <v/>
      </c>
      <c r="J138" s="22" t="str">
        <f aca="true">IF($A138="","",IF(AND(H138&gt;0,F138&lt;TODAY()),TODAY()-F138,0))</f>
        <v/>
      </c>
    </row>
    <row r="139" customFormat="false" ht="15" hidden="false" customHeight="false" outlineLevel="0" collapsed="false">
      <c r="A139" s="5"/>
      <c r="B139" s="19"/>
      <c r="C139" s="5"/>
      <c r="D139" s="5"/>
      <c r="E139" s="4"/>
      <c r="F139" s="19"/>
      <c r="G139" s="16" t="str">
        <f aca="false">IF($A139="","",SUMIFS('Cash Book'!$D$5:$D$504,'Cash Book'!$G$5:$G$504,$A139))</f>
        <v/>
      </c>
      <c r="H139" s="16" t="str">
        <f aca="false">IF($A139="","",E139-G139)</f>
        <v/>
      </c>
      <c r="I139" s="21" t="str">
        <f aca="true">IF($A139="","",IF(H139&lt;=0,"Paid",IF(F139&lt;TODAY(),"OVERDUE",IF(G139&gt;0,"Part paid","Open"))))</f>
        <v/>
      </c>
      <c r="J139" s="22" t="str">
        <f aca="true">IF($A139="","",IF(AND(H139&gt;0,F139&lt;TODAY()),TODAY()-F139,0))</f>
        <v/>
      </c>
    </row>
    <row r="140" customFormat="false" ht="15" hidden="false" customHeight="false" outlineLevel="0" collapsed="false">
      <c r="A140" s="5"/>
      <c r="B140" s="19"/>
      <c r="C140" s="5"/>
      <c r="D140" s="5"/>
      <c r="E140" s="4"/>
      <c r="F140" s="19"/>
      <c r="G140" s="16" t="str">
        <f aca="false">IF($A140="","",SUMIFS('Cash Book'!$D$5:$D$504,'Cash Book'!$G$5:$G$504,$A140))</f>
        <v/>
      </c>
      <c r="H140" s="16" t="str">
        <f aca="false">IF($A140="","",E140-G140)</f>
        <v/>
      </c>
      <c r="I140" s="21" t="str">
        <f aca="true">IF($A140="","",IF(H140&lt;=0,"Paid",IF(F140&lt;TODAY(),"OVERDUE",IF(G140&gt;0,"Part paid","Open"))))</f>
        <v/>
      </c>
      <c r="J140" s="22" t="str">
        <f aca="true">IF($A140="","",IF(AND(H140&gt;0,F140&lt;TODAY()),TODAY()-F140,0))</f>
        <v/>
      </c>
    </row>
    <row r="141" customFormat="false" ht="15" hidden="false" customHeight="false" outlineLevel="0" collapsed="false">
      <c r="A141" s="5"/>
      <c r="B141" s="19"/>
      <c r="C141" s="5"/>
      <c r="D141" s="5"/>
      <c r="E141" s="4"/>
      <c r="F141" s="19"/>
      <c r="G141" s="16" t="str">
        <f aca="false">IF($A141="","",SUMIFS('Cash Book'!$D$5:$D$504,'Cash Book'!$G$5:$G$504,$A141))</f>
        <v/>
      </c>
      <c r="H141" s="16" t="str">
        <f aca="false">IF($A141="","",E141-G141)</f>
        <v/>
      </c>
      <c r="I141" s="21" t="str">
        <f aca="true">IF($A141="","",IF(H141&lt;=0,"Paid",IF(F141&lt;TODAY(),"OVERDUE",IF(G141&gt;0,"Part paid","Open"))))</f>
        <v/>
      </c>
      <c r="J141" s="22" t="str">
        <f aca="true">IF($A141="","",IF(AND(H141&gt;0,F141&lt;TODAY()),TODAY()-F141,0))</f>
        <v/>
      </c>
    </row>
    <row r="142" customFormat="false" ht="15" hidden="false" customHeight="false" outlineLevel="0" collapsed="false">
      <c r="A142" s="5"/>
      <c r="B142" s="19"/>
      <c r="C142" s="5"/>
      <c r="D142" s="5"/>
      <c r="E142" s="4"/>
      <c r="F142" s="19"/>
      <c r="G142" s="16" t="str">
        <f aca="false">IF($A142="","",SUMIFS('Cash Book'!$D$5:$D$504,'Cash Book'!$G$5:$G$504,$A142))</f>
        <v/>
      </c>
      <c r="H142" s="16" t="str">
        <f aca="false">IF($A142="","",E142-G142)</f>
        <v/>
      </c>
      <c r="I142" s="21" t="str">
        <f aca="true">IF($A142="","",IF(H142&lt;=0,"Paid",IF(F142&lt;TODAY(),"OVERDUE",IF(G142&gt;0,"Part paid","Open"))))</f>
        <v/>
      </c>
      <c r="J142" s="22" t="str">
        <f aca="true">IF($A142="","",IF(AND(H142&gt;0,F142&lt;TODAY()),TODAY()-F142,0))</f>
        <v/>
      </c>
    </row>
    <row r="143" customFormat="false" ht="15" hidden="false" customHeight="false" outlineLevel="0" collapsed="false">
      <c r="A143" s="5"/>
      <c r="B143" s="19"/>
      <c r="C143" s="5"/>
      <c r="D143" s="5"/>
      <c r="E143" s="4"/>
      <c r="F143" s="19"/>
      <c r="G143" s="16" t="str">
        <f aca="false">IF($A143="","",SUMIFS('Cash Book'!$D$5:$D$504,'Cash Book'!$G$5:$G$504,$A143))</f>
        <v/>
      </c>
      <c r="H143" s="16" t="str">
        <f aca="false">IF($A143="","",E143-G143)</f>
        <v/>
      </c>
      <c r="I143" s="21" t="str">
        <f aca="true">IF($A143="","",IF(H143&lt;=0,"Paid",IF(F143&lt;TODAY(),"OVERDUE",IF(G143&gt;0,"Part paid","Open"))))</f>
        <v/>
      </c>
      <c r="J143" s="22" t="str">
        <f aca="true">IF($A143="","",IF(AND(H143&gt;0,F143&lt;TODAY()),TODAY()-F143,0))</f>
        <v/>
      </c>
    </row>
    <row r="144" customFormat="false" ht="15" hidden="false" customHeight="false" outlineLevel="0" collapsed="false">
      <c r="A144" s="5"/>
      <c r="B144" s="19"/>
      <c r="C144" s="5"/>
      <c r="D144" s="5"/>
      <c r="E144" s="4"/>
      <c r="F144" s="19"/>
      <c r="G144" s="16" t="str">
        <f aca="false">IF($A144="","",SUMIFS('Cash Book'!$D$5:$D$504,'Cash Book'!$G$5:$G$504,$A144))</f>
        <v/>
      </c>
      <c r="H144" s="16" t="str">
        <f aca="false">IF($A144="","",E144-G144)</f>
        <v/>
      </c>
      <c r="I144" s="21" t="str">
        <f aca="true">IF($A144="","",IF(H144&lt;=0,"Paid",IF(F144&lt;TODAY(),"OVERDUE",IF(G144&gt;0,"Part paid","Open"))))</f>
        <v/>
      </c>
      <c r="J144" s="22" t="str">
        <f aca="true">IF($A144="","",IF(AND(H144&gt;0,F144&lt;TODAY()),TODAY()-F144,0))</f>
        <v/>
      </c>
    </row>
    <row r="145" customFormat="false" ht="15" hidden="false" customHeight="false" outlineLevel="0" collapsed="false">
      <c r="A145" s="5"/>
      <c r="B145" s="19"/>
      <c r="C145" s="5"/>
      <c r="D145" s="5"/>
      <c r="E145" s="4"/>
      <c r="F145" s="19"/>
      <c r="G145" s="16" t="str">
        <f aca="false">IF($A145="","",SUMIFS('Cash Book'!$D$5:$D$504,'Cash Book'!$G$5:$G$504,$A145))</f>
        <v/>
      </c>
      <c r="H145" s="16" t="str">
        <f aca="false">IF($A145="","",E145-G145)</f>
        <v/>
      </c>
      <c r="I145" s="21" t="str">
        <f aca="true">IF($A145="","",IF(H145&lt;=0,"Paid",IF(F145&lt;TODAY(),"OVERDUE",IF(G145&gt;0,"Part paid","Open"))))</f>
        <v/>
      </c>
      <c r="J145" s="22" t="str">
        <f aca="true">IF($A145="","",IF(AND(H145&gt;0,F145&lt;TODAY()),TODAY()-F145,0))</f>
        <v/>
      </c>
    </row>
    <row r="146" customFormat="false" ht="15" hidden="false" customHeight="false" outlineLevel="0" collapsed="false">
      <c r="A146" s="5"/>
      <c r="B146" s="19"/>
      <c r="C146" s="5"/>
      <c r="D146" s="5"/>
      <c r="E146" s="4"/>
      <c r="F146" s="19"/>
      <c r="G146" s="16" t="str">
        <f aca="false">IF($A146="","",SUMIFS('Cash Book'!$D$5:$D$504,'Cash Book'!$G$5:$G$504,$A146))</f>
        <v/>
      </c>
      <c r="H146" s="16" t="str">
        <f aca="false">IF($A146="","",E146-G146)</f>
        <v/>
      </c>
      <c r="I146" s="21" t="str">
        <f aca="true">IF($A146="","",IF(H146&lt;=0,"Paid",IF(F146&lt;TODAY(),"OVERDUE",IF(G146&gt;0,"Part paid","Open"))))</f>
        <v/>
      </c>
      <c r="J146" s="22" t="str">
        <f aca="true">IF($A146="","",IF(AND(H146&gt;0,F146&lt;TODAY()),TODAY()-F146,0))</f>
        <v/>
      </c>
    </row>
    <row r="147" customFormat="false" ht="15" hidden="false" customHeight="false" outlineLevel="0" collapsed="false">
      <c r="A147" s="5"/>
      <c r="B147" s="19"/>
      <c r="C147" s="5"/>
      <c r="D147" s="5"/>
      <c r="E147" s="4"/>
      <c r="F147" s="19"/>
      <c r="G147" s="16" t="str">
        <f aca="false">IF($A147="","",SUMIFS('Cash Book'!$D$5:$D$504,'Cash Book'!$G$5:$G$504,$A147))</f>
        <v/>
      </c>
      <c r="H147" s="16" t="str">
        <f aca="false">IF($A147="","",E147-G147)</f>
        <v/>
      </c>
      <c r="I147" s="21" t="str">
        <f aca="true">IF($A147="","",IF(H147&lt;=0,"Paid",IF(F147&lt;TODAY(),"OVERDUE",IF(G147&gt;0,"Part paid","Open"))))</f>
        <v/>
      </c>
      <c r="J147" s="22" t="str">
        <f aca="true">IF($A147="","",IF(AND(H147&gt;0,F147&lt;TODAY()),TODAY()-F147,0))</f>
        <v/>
      </c>
    </row>
    <row r="148" customFormat="false" ht="15" hidden="false" customHeight="false" outlineLevel="0" collapsed="false">
      <c r="A148" s="5"/>
      <c r="B148" s="19"/>
      <c r="C148" s="5"/>
      <c r="D148" s="5"/>
      <c r="E148" s="4"/>
      <c r="F148" s="19"/>
      <c r="G148" s="16" t="str">
        <f aca="false">IF($A148="","",SUMIFS('Cash Book'!$D$5:$D$504,'Cash Book'!$G$5:$G$504,$A148))</f>
        <v/>
      </c>
      <c r="H148" s="16" t="str">
        <f aca="false">IF($A148="","",E148-G148)</f>
        <v/>
      </c>
      <c r="I148" s="21" t="str">
        <f aca="true">IF($A148="","",IF(H148&lt;=0,"Paid",IF(F148&lt;TODAY(),"OVERDUE",IF(G148&gt;0,"Part paid","Open"))))</f>
        <v/>
      </c>
      <c r="J148" s="22" t="str">
        <f aca="true">IF($A148="","",IF(AND(H148&gt;0,F148&lt;TODAY()),TODAY()-F148,0))</f>
        <v/>
      </c>
    </row>
    <row r="149" customFormat="false" ht="15" hidden="false" customHeight="false" outlineLevel="0" collapsed="false">
      <c r="A149" s="5"/>
      <c r="B149" s="19"/>
      <c r="C149" s="5"/>
      <c r="D149" s="5"/>
      <c r="E149" s="4"/>
      <c r="F149" s="19"/>
      <c r="G149" s="16" t="str">
        <f aca="false">IF($A149="","",SUMIFS('Cash Book'!$D$5:$D$504,'Cash Book'!$G$5:$G$504,$A149))</f>
        <v/>
      </c>
      <c r="H149" s="16" t="str">
        <f aca="false">IF($A149="","",E149-G149)</f>
        <v/>
      </c>
      <c r="I149" s="21" t="str">
        <f aca="true">IF($A149="","",IF(H149&lt;=0,"Paid",IF(F149&lt;TODAY(),"OVERDUE",IF(G149&gt;0,"Part paid","Open"))))</f>
        <v/>
      </c>
      <c r="J149" s="22" t="str">
        <f aca="true">IF($A149="","",IF(AND(H149&gt;0,F149&lt;TODAY()),TODAY()-F149,0))</f>
        <v/>
      </c>
    </row>
    <row r="150" customFormat="false" ht="15" hidden="false" customHeight="false" outlineLevel="0" collapsed="false">
      <c r="A150" s="5"/>
      <c r="B150" s="19"/>
      <c r="C150" s="5"/>
      <c r="D150" s="5"/>
      <c r="E150" s="4"/>
      <c r="F150" s="19"/>
      <c r="G150" s="16" t="str">
        <f aca="false">IF($A150="","",SUMIFS('Cash Book'!$D$5:$D$504,'Cash Book'!$G$5:$G$504,$A150))</f>
        <v/>
      </c>
      <c r="H150" s="16" t="str">
        <f aca="false">IF($A150="","",E150-G150)</f>
        <v/>
      </c>
      <c r="I150" s="21" t="str">
        <f aca="true">IF($A150="","",IF(H150&lt;=0,"Paid",IF(F150&lt;TODAY(),"OVERDUE",IF(G150&gt;0,"Part paid","Open"))))</f>
        <v/>
      </c>
      <c r="J150" s="22" t="str">
        <f aca="true">IF($A150="","",IF(AND(H150&gt;0,F150&lt;TODAY()),TODAY()-F150,0))</f>
        <v/>
      </c>
    </row>
    <row r="151" customFormat="false" ht="15" hidden="false" customHeight="false" outlineLevel="0" collapsed="false">
      <c r="A151" s="5"/>
      <c r="B151" s="19"/>
      <c r="C151" s="5"/>
      <c r="D151" s="5"/>
      <c r="E151" s="4"/>
      <c r="F151" s="19"/>
      <c r="G151" s="16" t="str">
        <f aca="false">IF($A151="","",SUMIFS('Cash Book'!$D$5:$D$504,'Cash Book'!$G$5:$G$504,$A151))</f>
        <v/>
      </c>
      <c r="H151" s="16" t="str">
        <f aca="false">IF($A151="","",E151-G151)</f>
        <v/>
      </c>
      <c r="I151" s="21" t="str">
        <f aca="true">IF($A151="","",IF(H151&lt;=0,"Paid",IF(F151&lt;TODAY(),"OVERDUE",IF(G151&gt;0,"Part paid","Open"))))</f>
        <v/>
      </c>
      <c r="J151" s="22" t="str">
        <f aca="true">IF($A151="","",IF(AND(H151&gt;0,F151&lt;TODAY()),TODAY()-F151,0))</f>
        <v/>
      </c>
    </row>
    <row r="152" customFormat="false" ht="15" hidden="false" customHeight="false" outlineLevel="0" collapsed="false">
      <c r="A152" s="5"/>
      <c r="B152" s="19"/>
      <c r="C152" s="5"/>
      <c r="D152" s="5"/>
      <c r="E152" s="4"/>
      <c r="F152" s="19"/>
      <c r="G152" s="16" t="str">
        <f aca="false">IF($A152="","",SUMIFS('Cash Book'!$D$5:$D$504,'Cash Book'!$G$5:$G$504,$A152))</f>
        <v/>
      </c>
      <c r="H152" s="16" t="str">
        <f aca="false">IF($A152="","",E152-G152)</f>
        <v/>
      </c>
      <c r="I152" s="21" t="str">
        <f aca="true">IF($A152="","",IF(H152&lt;=0,"Paid",IF(F152&lt;TODAY(),"OVERDUE",IF(G152&gt;0,"Part paid","Open"))))</f>
        <v/>
      </c>
      <c r="J152" s="22" t="str">
        <f aca="true">IF($A152="","",IF(AND(H152&gt;0,F152&lt;TODAY()),TODAY()-F152,0))</f>
        <v/>
      </c>
    </row>
    <row r="153" customFormat="false" ht="15" hidden="false" customHeight="false" outlineLevel="0" collapsed="false">
      <c r="A153" s="5"/>
      <c r="B153" s="19"/>
      <c r="C153" s="5"/>
      <c r="D153" s="5"/>
      <c r="E153" s="4"/>
      <c r="F153" s="19"/>
      <c r="G153" s="16" t="str">
        <f aca="false">IF($A153="","",SUMIFS('Cash Book'!$D$5:$D$504,'Cash Book'!$G$5:$G$504,$A153))</f>
        <v/>
      </c>
      <c r="H153" s="16" t="str">
        <f aca="false">IF($A153="","",E153-G153)</f>
        <v/>
      </c>
      <c r="I153" s="21" t="str">
        <f aca="true">IF($A153="","",IF(H153&lt;=0,"Paid",IF(F153&lt;TODAY(),"OVERDUE",IF(G153&gt;0,"Part paid","Open"))))</f>
        <v/>
      </c>
      <c r="J153" s="22" t="str">
        <f aca="true">IF($A153="","",IF(AND(H153&gt;0,F153&lt;TODAY()),TODAY()-F153,0))</f>
        <v/>
      </c>
    </row>
    <row r="154" customFormat="false" ht="15" hidden="false" customHeight="false" outlineLevel="0" collapsed="false">
      <c r="A154" s="5"/>
      <c r="B154" s="19"/>
      <c r="C154" s="5"/>
      <c r="D154" s="5"/>
      <c r="E154" s="4"/>
      <c r="F154" s="19"/>
      <c r="G154" s="16" t="str">
        <f aca="false">IF($A154="","",SUMIFS('Cash Book'!$D$5:$D$504,'Cash Book'!$G$5:$G$504,$A154))</f>
        <v/>
      </c>
      <c r="H154" s="16" t="str">
        <f aca="false">IF($A154="","",E154-G154)</f>
        <v/>
      </c>
      <c r="I154" s="21" t="str">
        <f aca="true">IF($A154="","",IF(H154&lt;=0,"Paid",IF(F154&lt;TODAY(),"OVERDUE",IF(G154&gt;0,"Part paid","Open"))))</f>
        <v/>
      </c>
      <c r="J154" s="22" t="str">
        <f aca="true">IF($A154="","",IF(AND(H154&gt;0,F154&lt;TODAY()),TODAY()-F154,0))</f>
        <v/>
      </c>
    </row>
    <row r="155" customFormat="false" ht="15" hidden="false" customHeight="false" outlineLevel="0" collapsed="false">
      <c r="A155" s="5"/>
      <c r="B155" s="19"/>
      <c r="C155" s="5"/>
      <c r="D155" s="5"/>
      <c r="E155" s="4"/>
      <c r="F155" s="19"/>
      <c r="G155" s="16" t="str">
        <f aca="false">IF($A155="","",SUMIFS('Cash Book'!$D$5:$D$504,'Cash Book'!$G$5:$G$504,$A155))</f>
        <v/>
      </c>
      <c r="H155" s="16" t="str">
        <f aca="false">IF($A155="","",E155-G155)</f>
        <v/>
      </c>
      <c r="I155" s="21" t="str">
        <f aca="true">IF($A155="","",IF(H155&lt;=0,"Paid",IF(F155&lt;TODAY(),"OVERDUE",IF(G155&gt;0,"Part paid","Open"))))</f>
        <v/>
      </c>
      <c r="J155" s="22" t="str">
        <f aca="true">IF($A155="","",IF(AND(H155&gt;0,F155&lt;TODAY()),TODAY()-F155,0))</f>
        <v/>
      </c>
    </row>
    <row r="156" customFormat="false" ht="15" hidden="false" customHeight="false" outlineLevel="0" collapsed="false">
      <c r="A156" s="5"/>
      <c r="B156" s="19"/>
      <c r="C156" s="5"/>
      <c r="D156" s="5"/>
      <c r="E156" s="4"/>
      <c r="F156" s="19"/>
      <c r="G156" s="16" t="str">
        <f aca="false">IF($A156="","",SUMIFS('Cash Book'!$D$5:$D$504,'Cash Book'!$G$5:$G$504,$A156))</f>
        <v/>
      </c>
      <c r="H156" s="16" t="str">
        <f aca="false">IF($A156="","",E156-G156)</f>
        <v/>
      </c>
      <c r="I156" s="21" t="str">
        <f aca="true">IF($A156="","",IF(H156&lt;=0,"Paid",IF(F156&lt;TODAY(),"OVERDUE",IF(G156&gt;0,"Part paid","Open"))))</f>
        <v/>
      </c>
      <c r="J156" s="22" t="str">
        <f aca="true">IF($A156="","",IF(AND(H156&gt;0,F156&lt;TODAY()),TODAY()-F156,0))</f>
        <v/>
      </c>
    </row>
    <row r="157" customFormat="false" ht="15" hidden="false" customHeight="false" outlineLevel="0" collapsed="false">
      <c r="A157" s="5"/>
      <c r="B157" s="19"/>
      <c r="C157" s="5"/>
      <c r="D157" s="5"/>
      <c r="E157" s="4"/>
      <c r="F157" s="19"/>
      <c r="G157" s="16" t="str">
        <f aca="false">IF($A157="","",SUMIFS('Cash Book'!$D$5:$D$504,'Cash Book'!$G$5:$G$504,$A157))</f>
        <v/>
      </c>
      <c r="H157" s="16" t="str">
        <f aca="false">IF($A157="","",E157-G157)</f>
        <v/>
      </c>
      <c r="I157" s="21" t="str">
        <f aca="true">IF($A157="","",IF(H157&lt;=0,"Paid",IF(F157&lt;TODAY(),"OVERDUE",IF(G157&gt;0,"Part paid","Open"))))</f>
        <v/>
      </c>
      <c r="J157" s="22" t="str">
        <f aca="true">IF($A157="","",IF(AND(H157&gt;0,F157&lt;TODAY()),TODAY()-F157,0))</f>
        <v/>
      </c>
    </row>
    <row r="158" customFormat="false" ht="15" hidden="false" customHeight="false" outlineLevel="0" collapsed="false">
      <c r="A158" s="5"/>
      <c r="B158" s="19"/>
      <c r="C158" s="5"/>
      <c r="D158" s="5"/>
      <c r="E158" s="4"/>
      <c r="F158" s="19"/>
      <c r="G158" s="16" t="str">
        <f aca="false">IF($A158="","",SUMIFS('Cash Book'!$D$5:$D$504,'Cash Book'!$G$5:$G$504,$A158))</f>
        <v/>
      </c>
      <c r="H158" s="16" t="str">
        <f aca="false">IF($A158="","",E158-G158)</f>
        <v/>
      </c>
      <c r="I158" s="21" t="str">
        <f aca="true">IF($A158="","",IF(H158&lt;=0,"Paid",IF(F158&lt;TODAY(),"OVERDUE",IF(G158&gt;0,"Part paid","Open"))))</f>
        <v/>
      </c>
      <c r="J158" s="22" t="str">
        <f aca="true">IF($A158="","",IF(AND(H158&gt;0,F158&lt;TODAY()),TODAY()-F158,0))</f>
        <v/>
      </c>
    </row>
    <row r="159" customFormat="false" ht="15" hidden="false" customHeight="false" outlineLevel="0" collapsed="false">
      <c r="A159" s="5"/>
      <c r="B159" s="19"/>
      <c r="C159" s="5"/>
      <c r="D159" s="5"/>
      <c r="E159" s="4"/>
      <c r="F159" s="19"/>
      <c r="G159" s="16" t="str">
        <f aca="false">IF($A159="","",SUMIFS('Cash Book'!$D$5:$D$504,'Cash Book'!$G$5:$G$504,$A159))</f>
        <v/>
      </c>
      <c r="H159" s="16" t="str">
        <f aca="false">IF($A159="","",E159-G159)</f>
        <v/>
      </c>
      <c r="I159" s="21" t="str">
        <f aca="true">IF($A159="","",IF(H159&lt;=0,"Paid",IF(F159&lt;TODAY(),"OVERDUE",IF(G159&gt;0,"Part paid","Open"))))</f>
        <v/>
      </c>
      <c r="J159" s="22" t="str">
        <f aca="true">IF($A159="","",IF(AND(H159&gt;0,F159&lt;TODAY()),TODAY()-F159,0))</f>
        <v/>
      </c>
    </row>
    <row r="160" customFormat="false" ht="15" hidden="false" customHeight="false" outlineLevel="0" collapsed="false">
      <c r="A160" s="5"/>
      <c r="B160" s="19"/>
      <c r="C160" s="5"/>
      <c r="D160" s="5"/>
      <c r="E160" s="4"/>
      <c r="F160" s="19"/>
      <c r="G160" s="16" t="str">
        <f aca="false">IF($A160="","",SUMIFS('Cash Book'!$D$5:$D$504,'Cash Book'!$G$5:$G$504,$A160))</f>
        <v/>
      </c>
      <c r="H160" s="16" t="str">
        <f aca="false">IF($A160="","",E160-G160)</f>
        <v/>
      </c>
      <c r="I160" s="21" t="str">
        <f aca="true">IF($A160="","",IF(H160&lt;=0,"Paid",IF(F160&lt;TODAY(),"OVERDUE",IF(G160&gt;0,"Part paid","Open"))))</f>
        <v/>
      </c>
      <c r="J160" s="22" t="str">
        <f aca="true">IF($A160="","",IF(AND(H160&gt;0,F160&lt;TODAY()),TODAY()-F160,0))</f>
        <v/>
      </c>
    </row>
    <row r="161" customFormat="false" ht="15" hidden="false" customHeight="false" outlineLevel="0" collapsed="false">
      <c r="A161" s="5"/>
      <c r="B161" s="19"/>
      <c r="C161" s="5"/>
      <c r="D161" s="5"/>
      <c r="E161" s="4"/>
      <c r="F161" s="19"/>
      <c r="G161" s="16" t="str">
        <f aca="false">IF($A161="","",SUMIFS('Cash Book'!$D$5:$D$504,'Cash Book'!$G$5:$G$504,$A161))</f>
        <v/>
      </c>
      <c r="H161" s="16" t="str">
        <f aca="false">IF($A161="","",E161-G161)</f>
        <v/>
      </c>
      <c r="I161" s="21" t="str">
        <f aca="true">IF($A161="","",IF(H161&lt;=0,"Paid",IF(F161&lt;TODAY(),"OVERDUE",IF(G161&gt;0,"Part paid","Open"))))</f>
        <v/>
      </c>
      <c r="J161" s="22" t="str">
        <f aca="true">IF($A161="","",IF(AND(H161&gt;0,F161&lt;TODAY()),TODAY()-F161,0))</f>
        <v/>
      </c>
    </row>
    <row r="162" customFormat="false" ht="15" hidden="false" customHeight="false" outlineLevel="0" collapsed="false">
      <c r="A162" s="5"/>
      <c r="B162" s="19"/>
      <c r="C162" s="5"/>
      <c r="D162" s="5"/>
      <c r="E162" s="4"/>
      <c r="F162" s="19"/>
      <c r="G162" s="16" t="str">
        <f aca="false">IF($A162="","",SUMIFS('Cash Book'!$D$5:$D$504,'Cash Book'!$G$5:$G$504,$A162))</f>
        <v/>
      </c>
      <c r="H162" s="16" t="str">
        <f aca="false">IF($A162="","",E162-G162)</f>
        <v/>
      </c>
      <c r="I162" s="21" t="str">
        <f aca="true">IF($A162="","",IF(H162&lt;=0,"Paid",IF(F162&lt;TODAY(),"OVERDUE",IF(G162&gt;0,"Part paid","Open"))))</f>
        <v/>
      </c>
      <c r="J162" s="22" t="str">
        <f aca="true">IF($A162="","",IF(AND(H162&gt;0,F162&lt;TODAY()),TODAY()-F162,0))</f>
        <v/>
      </c>
    </row>
    <row r="163" customFormat="false" ht="15" hidden="false" customHeight="false" outlineLevel="0" collapsed="false">
      <c r="A163" s="5"/>
      <c r="B163" s="19"/>
      <c r="C163" s="5"/>
      <c r="D163" s="5"/>
      <c r="E163" s="4"/>
      <c r="F163" s="19"/>
      <c r="G163" s="16" t="str">
        <f aca="false">IF($A163="","",SUMIFS('Cash Book'!$D$5:$D$504,'Cash Book'!$G$5:$G$504,$A163))</f>
        <v/>
      </c>
      <c r="H163" s="16" t="str">
        <f aca="false">IF($A163="","",E163-G163)</f>
        <v/>
      </c>
      <c r="I163" s="21" t="str">
        <f aca="true">IF($A163="","",IF(H163&lt;=0,"Paid",IF(F163&lt;TODAY(),"OVERDUE",IF(G163&gt;0,"Part paid","Open"))))</f>
        <v/>
      </c>
      <c r="J163" s="22" t="str">
        <f aca="true">IF($A163="","",IF(AND(H163&gt;0,F163&lt;TODAY()),TODAY()-F163,0))</f>
        <v/>
      </c>
    </row>
    <row r="164" customFormat="false" ht="15" hidden="false" customHeight="false" outlineLevel="0" collapsed="false">
      <c r="A164" s="5"/>
      <c r="B164" s="19"/>
      <c r="C164" s="5"/>
      <c r="D164" s="5"/>
      <c r="E164" s="4"/>
      <c r="F164" s="19"/>
      <c r="G164" s="16" t="str">
        <f aca="false">IF($A164="","",SUMIFS('Cash Book'!$D$5:$D$504,'Cash Book'!$G$5:$G$504,$A164))</f>
        <v/>
      </c>
      <c r="H164" s="16" t="str">
        <f aca="false">IF($A164="","",E164-G164)</f>
        <v/>
      </c>
      <c r="I164" s="21" t="str">
        <f aca="true">IF($A164="","",IF(H164&lt;=0,"Paid",IF(F164&lt;TODAY(),"OVERDUE",IF(G164&gt;0,"Part paid","Open"))))</f>
        <v/>
      </c>
      <c r="J164" s="22" t="str">
        <f aca="true">IF($A164="","",IF(AND(H164&gt;0,F164&lt;TODAY()),TODAY()-F164,0))</f>
        <v/>
      </c>
    </row>
    <row r="165" customFormat="false" ht="15" hidden="false" customHeight="false" outlineLevel="0" collapsed="false">
      <c r="A165" s="5"/>
      <c r="B165" s="19"/>
      <c r="C165" s="5"/>
      <c r="D165" s="5"/>
      <c r="E165" s="4"/>
      <c r="F165" s="19"/>
      <c r="G165" s="16" t="str">
        <f aca="false">IF($A165="","",SUMIFS('Cash Book'!$D$5:$D$504,'Cash Book'!$G$5:$G$504,$A165))</f>
        <v/>
      </c>
      <c r="H165" s="16" t="str">
        <f aca="false">IF($A165="","",E165-G165)</f>
        <v/>
      </c>
      <c r="I165" s="21" t="str">
        <f aca="true">IF($A165="","",IF(H165&lt;=0,"Paid",IF(F165&lt;TODAY(),"OVERDUE",IF(G165&gt;0,"Part paid","Open"))))</f>
        <v/>
      </c>
      <c r="J165" s="22" t="str">
        <f aca="true">IF($A165="","",IF(AND(H165&gt;0,F165&lt;TODAY()),TODAY()-F165,0))</f>
        <v/>
      </c>
    </row>
    <row r="166" customFormat="false" ht="15" hidden="false" customHeight="false" outlineLevel="0" collapsed="false">
      <c r="A166" s="5"/>
      <c r="B166" s="19"/>
      <c r="C166" s="5"/>
      <c r="D166" s="5"/>
      <c r="E166" s="4"/>
      <c r="F166" s="19"/>
      <c r="G166" s="16" t="str">
        <f aca="false">IF($A166="","",SUMIFS('Cash Book'!$D$5:$D$504,'Cash Book'!$G$5:$G$504,$A166))</f>
        <v/>
      </c>
      <c r="H166" s="16" t="str">
        <f aca="false">IF($A166="","",E166-G166)</f>
        <v/>
      </c>
      <c r="I166" s="21" t="str">
        <f aca="true">IF($A166="","",IF(H166&lt;=0,"Paid",IF(F166&lt;TODAY(),"OVERDUE",IF(G166&gt;0,"Part paid","Open"))))</f>
        <v/>
      </c>
      <c r="J166" s="22" t="str">
        <f aca="true">IF($A166="","",IF(AND(H166&gt;0,F166&lt;TODAY()),TODAY()-F166,0))</f>
        <v/>
      </c>
    </row>
    <row r="167" customFormat="false" ht="15" hidden="false" customHeight="false" outlineLevel="0" collapsed="false">
      <c r="A167" s="5"/>
      <c r="B167" s="19"/>
      <c r="C167" s="5"/>
      <c r="D167" s="5"/>
      <c r="E167" s="4"/>
      <c r="F167" s="19"/>
      <c r="G167" s="16" t="str">
        <f aca="false">IF($A167="","",SUMIFS('Cash Book'!$D$5:$D$504,'Cash Book'!$G$5:$G$504,$A167))</f>
        <v/>
      </c>
      <c r="H167" s="16" t="str">
        <f aca="false">IF($A167="","",E167-G167)</f>
        <v/>
      </c>
      <c r="I167" s="21" t="str">
        <f aca="true">IF($A167="","",IF(H167&lt;=0,"Paid",IF(F167&lt;TODAY(),"OVERDUE",IF(G167&gt;0,"Part paid","Open"))))</f>
        <v/>
      </c>
      <c r="J167" s="22" t="str">
        <f aca="true">IF($A167="","",IF(AND(H167&gt;0,F167&lt;TODAY()),TODAY()-F167,0))</f>
        <v/>
      </c>
    </row>
    <row r="168" customFormat="false" ht="15" hidden="false" customHeight="false" outlineLevel="0" collapsed="false">
      <c r="A168" s="5"/>
      <c r="B168" s="19"/>
      <c r="C168" s="5"/>
      <c r="D168" s="5"/>
      <c r="E168" s="4"/>
      <c r="F168" s="19"/>
      <c r="G168" s="16" t="str">
        <f aca="false">IF($A168="","",SUMIFS('Cash Book'!$D$5:$D$504,'Cash Book'!$G$5:$G$504,$A168))</f>
        <v/>
      </c>
      <c r="H168" s="16" t="str">
        <f aca="false">IF($A168="","",E168-G168)</f>
        <v/>
      </c>
      <c r="I168" s="21" t="str">
        <f aca="true">IF($A168="","",IF(H168&lt;=0,"Paid",IF(F168&lt;TODAY(),"OVERDUE",IF(G168&gt;0,"Part paid","Open"))))</f>
        <v/>
      </c>
      <c r="J168" s="22" t="str">
        <f aca="true">IF($A168="","",IF(AND(H168&gt;0,F168&lt;TODAY()),TODAY()-F168,0))</f>
        <v/>
      </c>
    </row>
    <row r="169" customFormat="false" ht="15" hidden="false" customHeight="false" outlineLevel="0" collapsed="false">
      <c r="A169" s="5"/>
      <c r="B169" s="19"/>
      <c r="C169" s="5"/>
      <c r="D169" s="5"/>
      <c r="E169" s="4"/>
      <c r="F169" s="19"/>
      <c r="G169" s="16" t="str">
        <f aca="false">IF($A169="","",SUMIFS('Cash Book'!$D$5:$D$504,'Cash Book'!$G$5:$G$504,$A169))</f>
        <v/>
      </c>
      <c r="H169" s="16" t="str">
        <f aca="false">IF($A169="","",E169-G169)</f>
        <v/>
      </c>
      <c r="I169" s="21" t="str">
        <f aca="true">IF($A169="","",IF(H169&lt;=0,"Paid",IF(F169&lt;TODAY(),"OVERDUE",IF(G169&gt;0,"Part paid","Open"))))</f>
        <v/>
      </c>
      <c r="J169" s="22" t="str">
        <f aca="true">IF($A169="","",IF(AND(H169&gt;0,F169&lt;TODAY()),TODAY()-F169,0))</f>
        <v/>
      </c>
    </row>
    <row r="170" customFormat="false" ht="15" hidden="false" customHeight="false" outlineLevel="0" collapsed="false">
      <c r="A170" s="5"/>
      <c r="B170" s="19"/>
      <c r="C170" s="5"/>
      <c r="D170" s="5"/>
      <c r="E170" s="4"/>
      <c r="F170" s="19"/>
      <c r="G170" s="16" t="str">
        <f aca="false">IF($A170="","",SUMIFS('Cash Book'!$D$5:$D$504,'Cash Book'!$G$5:$G$504,$A170))</f>
        <v/>
      </c>
      <c r="H170" s="16" t="str">
        <f aca="false">IF($A170="","",E170-G170)</f>
        <v/>
      </c>
      <c r="I170" s="21" t="str">
        <f aca="true">IF($A170="","",IF(H170&lt;=0,"Paid",IF(F170&lt;TODAY(),"OVERDUE",IF(G170&gt;0,"Part paid","Open"))))</f>
        <v/>
      </c>
      <c r="J170" s="22" t="str">
        <f aca="true">IF($A170="","",IF(AND(H170&gt;0,F170&lt;TODAY()),TODAY()-F170,0))</f>
        <v/>
      </c>
    </row>
    <row r="171" customFormat="false" ht="15" hidden="false" customHeight="false" outlineLevel="0" collapsed="false">
      <c r="A171" s="5"/>
      <c r="B171" s="19"/>
      <c r="C171" s="5"/>
      <c r="D171" s="5"/>
      <c r="E171" s="4"/>
      <c r="F171" s="19"/>
      <c r="G171" s="16" t="str">
        <f aca="false">IF($A171="","",SUMIFS('Cash Book'!$D$5:$D$504,'Cash Book'!$G$5:$G$504,$A171))</f>
        <v/>
      </c>
      <c r="H171" s="16" t="str">
        <f aca="false">IF($A171="","",E171-G171)</f>
        <v/>
      </c>
      <c r="I171" s="21" t="str">
        <f aca="true">IF($A171="","",IF(H171&lt;=0,"Paid",IF(F171&lt;TODAY(),"OVERDUE",IF(G171&gt;0,"Part paid","Open"))))</f>
        <v/>
      </c>
      <c r="J171" s="22" t="str">
        <f aca="true">IF($A171="","",IF(AND(H171&gt;0,F171&lt;TODAY()),TODAY()-F171,0))</f>
        <v/>
      </c>
    </row>
    <row r="172" customFormat="false" ht="15" hidden="false" customHeight="false" outlineLevel="0" collapsed="false">
      <c r="A172" s="5"/>
      <c r="B172" s="19"/>
      <c r="C172" s="5"/>
      <c r="D172" s="5"/>
      <c r="E172" s="4"/>
      <c r="F172" s="19"/>
      <c r="G172" s="16" t="str">
        <f aca="false">IF($A172="","",SUMIFS('Cash Book'!$D$5:$D$504,'Cash Book'!$G$5:$G$504,$A172))</f>
        <v/>
      </c>
      <c r="H172" s="16" t="str">
        <f aca="false">IF($A172="","",E172-G172)</f>
        <v/>
      </c>
      <c r="I172" s="21" t="str">
        <f aca="true">IF($A172="","",IF(H172&lt;=0,"Paid",IF(F172&lt;TODAY(),"OVERDUE",IF(G172&gt;0,"Part paid","Open"))))</f>
        <v/>
      </c>
      <c r="J172" s="22" t="str">
        <f aca="true">IF($A172="","",IF(AND(H172&gt;0,F172&lt;TODAY()),TODAY()-F172,0))</f>
        <v/>
      </c>
    </row>
    <row r="173" customFormat="false" ht="15" hidden="false" customHeight="false" outlineLevel="0" collapsed="false">
      <c r="A173" s="5"/>
      <c r="B173" s="19"/>
      <c r="C173" s="5"/>
      <c r="D173" s="5"/>
      <c r="E173" s="4"/>
      <c r="F173" s="19"/>
      <c r="G173" s="16" t="str">
        <f aca="false">IF($A173="","",SUMIFS('Cash Book'!$D$5:$D$504,'Cash Book'!$G$5:$G$504,$A173))</f>
        <v/>
      </c>
      <c r="H173" s="16" t="str">
        <f aca="false">IF($A173="","",E173-G173)</f>
        <v/>
      </c>
      <c r="I173" s="21" t="str">
        <f aca="true">IF($A173="","",IF(H173&lt;=0,"Paid",IF(F173&lt;TODAY(),"OVERDUE",IF(G173&gt;0,"Part paid","Open"))))</f>
        <v/>
      </c>
      <c r="J173" s="22" t="str">
        <f aca="true">IF($A173="","",IF(AND(H173&gt;0,F173&lt;TODAY()),TODAY()-F173,0))</f>
        <v/>
      </c>
    </row>
    <row r="174" customFormat="false" ht="15" hidden="false" customHeight="false" outlineLevel="0" collapsed="false">
      <c r="A174" s="5"/>
      <c r="B174" s="19"/>
      <c r="C174" s="5"/>
      <c r="D174" s="5"/>
      <c r="E174" s="4"/>
      <c r="F174" s="19"/>
      <c r="G174" s="16" t="str">
        <f aca="false">IF($A174="","",SUMIFS('Cash Book'!$D$5:$D$504,'Cash Book'!$G$5:$G$504,$A174))</f>
        <v/>
      </c>
      <c r="H174" s="16" t="str">
        <f aca="false">IF($A174="","",E174-G174)</f>
        <v/>
      </c>
      <c r="I174" s="21" t="str">
        <f aca="true">IF($A174="","",IF(H174&lt;=0,"Paid",IF(F174&lt;TODAY(),"OVERDUE",IF(G174&gt;0,"Part paid","Open"))))</f>
        <v/>
      </c>
      <c r="J174" s="22" t="str">
        <f aca="true">IF($A174="","",IF(AND(H174&gt;0,F174&lt;TODAY()),TODAY()-F174,0))</f>
        <v/>
      </c>
    </row>
    <row r="175" customFormat="false" ht="15" hidden="false" customHeight="false" outlineLevel="0" collapsed="false">
      <c r="A175" s="5"/>
      <c r="B175" s="19"/>
      <c r="C175" s="5"/>
      <c r="D175" s="5"/>
      <c r="E175" s="4"/>
      <c r="F175" s="19"/>
      <c r="G175" s="16" t="str">
        <f aca="false">IF($A175="","",SUMIFS('Cash Book'!$D$5:$D$504,'Cash Book'!$G$5:$G$504,$A175))</f>
        <v/>
      </c>
      <c r="H175" s="16" t="str">
        <f aca="false">IF($A175="","",E175-G175)</f>
        <v/>
      </c>
      <c r="I175" s="21" t="str">
        <f aca="true">IF($A175="","",IF(H175&lt;=0,"Paid",IF(F175&lt;TODAY(),"OVERDUE",IF(G175&gt;0,"Part paid","Open"))))</f>
        <v/>
      </c>
      <c r="J175" s="22" t="str">
        <f aca="true">IF($A175="","",IF(AND(H175&gt;0,F175&lt;TODAY()),TODAY()-F175,0))</f>
        <v/>
      </c>
    </row>
    <row r="176" customFormat="false" ht="15" hidden="false" customHeight="false" outlineLevel="0" collapsed="false">
      <c r="A176" s="5"/>
      <c r="B176" s="19"/>
      <c r="C176" s="5"/>
      <c r="D176" s="5"/>
      <c r="E176" s="4"/>
      <c r="F176" s="19"/>
      <c r="G176" s="16" t="str">
        <f aca="false">IF($A176="","",SUMIFS('Cash Book'!$D$5:$D$504,'Cash Book'!$G$5:$G$504,$A176))</f>
        <v/>
      </c>
      <c r="H176" s="16" t="str">
        <f aca="false">IF($A176="","",E176-G176)</f>
        <v/>
      </c>
      <c r="I176" s="21" t="str">
        <f aca="true">IF($A176="","",IF(H176&lt;=0,"Paid",IF(F176&lt;TODAY(),"OVERDUE",IF(G176&gt;0,"Part paid","Open"))))</f>
        <v/>
      </c>
      <c r="J176" s="22" t="str">
        <f aca="true">IF($A176="","",IF(AND(H176&gt;0,F176&lt;TODAY()),TODAY()-F176,0))</f>
        <v/>
      </c>
    </row>
    <row r="177" customFormat="false" ht="15" hidden="false" customHeight="false" outlineLevel="0" collapsed="false">
      <c r="A177" s="5"/>
      <c r="B177" s="19"/>
      <c r="C177" s="5"/>
      <c r="D177" s="5"/>
      <c r="E177" s="4"/>
      <c r="F177" s="19"/>
      <c r="G177" s="16" t="str">
        <f aca="false">IF($A177="","",SUMIFS('Cash Book'!$D$5:$D$504,'Cash Book'!$G$5:$G$504,$A177))</f>
        <v/>
      </c>
      <c r="H177" s="16" t="str">
        <f aca="false">IF($A177="","",E177-G177)</f>
        <v/>
      </c>
      <c r="I177" s="21" t="str">
        <f aca="true">IF($A177="","",IF(H177&lt;=0,"Paid",IF(F177&lt;TODAY(),"OVERDUE",IF(G177&gt;0,"Part paid","Open"))))</f>
        <v/>
      </c>
      <c r="J177" s="22" t="str">
        <f aca="true">IF($A177="","",IF(AND(H177&gt;0,F177&lt;TODAY()),TODAY()-F177,0))</f>
        <v/>
      </c>
    </row>
    <row r="178" customFormat="false" ht="15" hidden="false" customHeight="false" outlineLevel="0" collapsed="false">
      <c r="A178" s="5"/>
      <c r="B178" s="19"/>
      <c r="C178" s="5"/>
      <c r="D178" s="5"/>
      <c r="E178" s="4"/>
      <c r="F178" s="19"/>
      <c r="G178" s="16" t="str">
        <f aca="false">IF($A178="","",SUMIFS('Cash Book'!$D$5:$D$504,'Cash Book'!$G$5:$G$504,$A178))</f>
        <v/>
      </c>
      <c r="H178" s="16" t="str">
        <f aca="false">IF($A178="","",E178-G178)</f>
        <v/>
      </c>
      <c r="I178" s="21" t="str">
        <f aca="true">IF($A178="","",IF(H178&lt;=0,"Paid",IF(F178&lt;TODAY(),"OVERDUE",IF(G178&gt;0,"Part paid","Open"))))</f>
        <v/>
      </c>
      <c r="J178" s="22" t="str">
        <f aca="true">IF($A178="","",IF(AND(H178&gt;0,F178&lt;TODAY()),TODAY()-F178,0))</f>
        <v/>
      </c>
    </row>
    <row r="179" customFormat="false" ht="15" hidden="false" customHeight="false" outlineLevel="0" collapsed="false">
      <c r="A179" s="5"/>
      <c r="B179" s="19"/>
      <c r="C179" s="5"/>
      <c r="D179" s="5"/>
      <c r="E179" s="4"/>
      <c r="F179" s="19"/>
      <c r="G179" s="16" t="str">
        <f aca="false">IF($A179="","",SUMIFS('Cash Book'!$D$5:$D$504,'Cash Book'!$G$5:$G$504,$A179))</f>
        <v/>
      </c>
      <c r="H179" s="16" t="str">
        <f aca="false">IF($A179="","",E179-G179)</f>
        <v/>
      </c>
      <c r="I179" s="21" t="str">
        <f aca="true">IF($A179="","",IF(H179&lt;=0,"Paid",IF(F179&lt;TODAY(),"OVERDUE",IF(G179&gt;0,"Part paid","Open"))))</f>
        <v/>
      </c>
      <c r="J179" s="22" t="str">
        <f aca="true">IF($A179="","",IF(AND(H179&gt;0,F179&lt;TODAY()),TODAY()-F179,0))</f>
        <v/>
      </c>
    </row>
    <row r="180" customFormat="false" ht="15" hidden="false" customHeight="false" outlineLevel="0" collapsed="false">
      <c r="A180" s="5"/>
      <c r="B180" s="19"/>
      <c r="C180" s="5"/>
      <c r="D180" s="5"/>
      <c r="E180" s="4"/>
      <c r="F180" s="19"/>
      <c r="G180" s="16" t="str">
        <f aca="false">IF($A180="","",SUMIFS('Cash Book'!$D$5:$D$504,'Cash Book'!$G$5:$G$504,$A180))</f>
        <v/>
      </c>
      <c r="H180" s="16" t="str">
        <f aca="false">IF($A180="","",E180-G180)</f>
        <v/>
      </c>
      <c r="I180" s="21" t="str">
        <f aca="true">IF($A180="","",IF(H180&lt;=0,"Paid",IF(F180&lt;TODAY(),"OVERDUE",IF(G180&gt;0,"Part paid","Open"))))</f>
        <v/>
      </c>
      <c r="J180" s="22" t="str">
        <f aca="true">IF($A180="","",IF(AND(H180&gt;0,F180&lt;TODAY()),TODAY()-F180,0))</f>
        <v/>
      </c>
    </row>
    <row r="181" customFormat="false" ht="15" hidden="false" customHeight="false" outlineLevel="0" collapsed="false">
      <c r="A181" s="5"/>
      <c r="B181" s="19"/>
      <c r="C181" s="5"/>
      <c r="D181" s="5"/>
      <c r="E181" s="4"/>
      <c r="F181" s="19"/>
      <c r="G181" s="16" t="str">
        <f aca="false">IF($A181="","",SUMIFS('Cash Book'!$D$5:$D$504,'Cash Book'!$G$5:$G$504,$A181))</f>
        <v/>
      </c>
      <c r="H181" s="16" t="str">
        <f aca="false">IF($A181="","",E181-G181)</f>
        <v/>
      </c>
      <c r="I181" s="21" t="str">
        <f aca="true">IF($A181="","",IF(H181&lt;=0,"Paid",IF(F181&lt;TODAY(),"OVERDUE",IF(G181&gt;0,"Part paid","Open"))))</f>
        <v/>
      </c>
      <c r="J181" s="22" t="str">
        <f aca="true">IF($A181="","",IF(AND(H181&gt;0,F181&lt;TODAY()),TODAY()-F181,0))</f>
        <v/>
      </c>
    </row>
    <row r="182" customFormat="false" ht="15" hidden="false" customHeight="false" outlineLevel="0" collapsed="false">
      <c r="A182" s="5"/>
      <c r="B182" s="19"/>
      <c r="C182" s="5"/>
      <c r="D182" s="5"/>
      <c r="E182" s="4"/>
      <c r="F182" s="19"/>
      <c r="G182" s="16" t="str">
        <f aca="false">IF($A182="","",SUMIFS('Cash Book'!$D$5:$D$504,'Cash Book'!$G$5:$G$504,$A182))</f>
        <v/>
      </c>
      <c r="H182" s="16" t="str">
        <f aca="false">IF($A182="","",E182-G182)</f>
        <v/>
      </c>
      <c r="I182" s="21" t="str">
        <f aca="true">IF($A182="","",IF(H182&lt;=0,"Paid",IF(F182&lt;TODAY(),"OVERDUE",IF(G182&gt;0,"Part paid","Open"))))</f>
        <v/>
      </c>
      <c r="J182" s="22" t="str">
        <f aca="true">IF($A182="","",IF(AND(H182&gt;0,F182&lt;TODAY()),TODAY()-F182,0))</f>
        <v/>
      </c>
    </row>
    <row r="183" customFormat="false" ht="15" hidden="false" customHeight="false" outlineLevel="0" collapsed="false">
      <c r="A183" s="5"/>
      <c r="B183" s="19"/>
      <c r="C183" s="5"/>
      <c r="D183" s="5"/>
      <c r="E183" s="4"/>
      <c r="F183" s="19"/>
      <c r="G183" s="16" t="str">
        <f aca="false">IF($A183="","",SUMIFS('Cash Book'!$D$5:$D$504,'Cash Book'!$G$5:$G$504,$A183))</f>
        <v/>
      </c>
      <c r="H183" s="16" t="str">
        <f aca="false">IF($A183="","",E183-G183)</f>
        <v/>
      </c>
      <c r="I183" s="21" t="str">
        <f aca="true">IF($A183="","",IF(H183&lt;=0,"Paid",IF(F183&lt;TODAY(),"OVERDUE",IF(G183&gt;0,"Part paid","Open"))))</f>
        <v/>
      </c>
      <c r="J183" s="22" t="str">
        <f aca="true">IF($A183="","",IF(AND(H183&gt;0,F183&lt;TODAY()),TODAY()-F183,0))</f>
        <v/>
      </c>
    </row>
    <row r="184" customFormat="false" ht="15" hidden="false" customHeight="false" outlineLevel="0" collapsed="false">
      <c r="A184" s="5"/>
      <c r="B184" s="19"/>
      <c r="C184" s="5"/>
      <c r="D184" s="5"/>
      <c r="E184" s="4"/>
      <c r="F184" s="19"/>
      <c r="G184" s="16" t="str">
        <f aca="false">IF($A184="","",SUMIFS('Cash Book'!$D$5:$D$504,'Cash Book'!$G$5:$G$504,$A184))</f>
        <v/>
      </c>
      <c r="H184" s="16" t="str">
        <f aca="false">IF($A184="","",E184-G184)</f>
        <v/>
      </c>
      <c r="I184" s="21" t="str">
        <f aca="true">IF($A184="","",IF(H184&lt;=0,"Paid",IF(F184&lt;TODAY(),"OVERDUE",IF(G184&gt;0,"Part paid","Open"))))</f>
        <v/>
      </c>
      <c r="J184" s="22" t="str">
        <f aca="true">IF($A184="","",IF(AND(H184&gt;0,F184&lt;TODAY()),TODAY()-F184,0))</f>
        <v/>
      </c>
    </row>
    <row r="185" customFormat="false" ht="15" hidden="false" customHeight="false" outlineLevel="0" collapsed="false">
      <c r="A185" s="5"/>
      <c r="B185" s="19"/>
      <c r="C185" s="5"/>
      <c r="D185" s="5"/>
      <c r="E185" s="4"/>
      <c r="F185" s="19"/>
      <c r="G185" s="16" t="str">
        <f aca="false">IF($A185="","",SUMIFS('Cash Book'!$D$5:$D$504,'Cash Book'!$G$5:$G$504,$A185))</f>
        <v/>
      </c>
      <c r="H185" s="16" t="str">
        <f aca="false">IF($A185="","",E185-G185)</f>
        <v/>
      </c>
      <c r="I185" s="21" t="str">
        <f aca="true">IF($A185="","",IF(H185&lt;=0,"Paid",IF(F185&lt;TODAY(),"OVERDUE",IF(G185&gt;0,"Part paid","Open"))))</f>
        <v/>
      </c>
      <c r="J185" s="22" t="str">
        <f aca="true">IF($A185="","",IF(AND(H185&gt;0,F185&lt;TODAY()),TODAY()-F185,0))</f>
        <v/>
      </c>
    </row>
    <row r="186" customFormat="false" ht="15" hidden="false" customHeight="false" outlineLevel="0" collapsed="false">
      <c r="A186" s="5"/>
      <c r="B186" s="19"/>
      <c r="C186" s="5"/>
      <c r="D186" s="5"/>
      <c r="E186" s="4"/>
      <c r="F186" s="19"/>
      <c r="G186" s="16" t="str">
        <f aca="false">IF($A186="","",SUMIFS('Cash Book'!$D$5:$D$504,'Cash Book'!$G$5:$G$504,$A186))</f>
        <v/>
      </c>
      <c r="H186" s="16" t="str">
        <f aca="false">IF($A186="","",E186-G186)</f>
        <v/>
      </c>
      <c r="I186" s="21" t="str">
        <f aca="true">IF($A186="","",IF(H186&lt;=0,"Paid",IF(F186&lt;TODAY(),"OVERDUE",IF(G186&gt;0,"Part paid","Open"))))</f>
        <v/>
      </c>
      <c r="J186" s="22" t="str">
        <f aca="true">IF($A186="","",IF(AND(H186&gt;0,F186&lt;TODAY()),TODAY()-F186,0))</f>
        <v/>
      </c>
    </row>
    <row r="187" customFormat="false" ht="15" hidden="false" customHeight="false" outlineLevel="0" collapsed="false">
      <c r="A187" s="5"/>
      <c r="B187" s="19"/>
      <c r="C187" s="5"/>
      <c r="D187" s="5"/>
      <c r="E187" s="4"/>
      <c r="F187" s="19"/>
      <c r="G187" s="16" t="str">
        <f aca="false">IF($A187="","",SUMIFS('Cash Book'!$D$5:$D$504,'Cash Book'!$G$5:$G$504,$A187))</f>
        <v/>
      </c>
      <c r="H187" s="16" t="str">
        <f aca="false">IF($A187="","",E187-G187)</f>
        <v/>
      </c>
      <c r="I187" s="21" t="str">
        <f aca="true">IF($A187="","",IF(H187&lt;=0,"Paid",IF(F187&lt;TODAY(),"OVERDUE",IF(G187&gt;0,"Part paid","Open"))))</f>
        <v/>
      </c>
      <c r="J187" s="22" t="str">
        <f aca="true">IF($A187="","",IF(AND(H187&gt;0,F187&lt;TODAY()),TODAY()-F187,0))</f>
        <v/>
      </c>
    </row>
    <row r="188" customFormat="false" ht="15" hidden="false" customHeight="false" outlineLevel="0" collapsed="false">
      <c r="A188" s="5"/>
      <c r="B188" s="19"/>
      <c r="C188" s="5"/>
      <c r="D188" s="5"/>
      <c r="E188" s="4"/>
      <c r="F188" s="19"/>
      <c r="G188" s="16" t="str">
        <f aca="false">IF($A188="","",SUMIFS('Cash Book'!$D$5:$D$504,'Cash Book'!$G$5:$G$504,$A188))</f>
        <v/>
      </c>
      <c r="H188" s="16" t="str">
        <f aca="false">IF($A188="","",E188-G188)</f>
        <v/>
      </c>
      <c r="I188" s="21" t="str">
        <f aca="true">IF($A188="","",IF(H188&lt;=0,"Paid",IF(F188&lt;TODAY(),"OVERDUE",IF(G188&gt;0,"Part paid","Open"))))</f>
        <v/>
      </c>
      <c r="J188" s="22" t="str">
        <f aca="true">IF($A188="","",IF(AND(H188&gt;0,F188&lt;TODAY()),TODAY()-F188,0))</f>
        <v/>
      </c>
    </row>
    <row r="189" customFormat="false" ht="15" hidden="false" customHeight="false" outlineLevel="0" collapsed="false">
      <c r="A189" s="5"/>
      <c r="B189" s="19"/>
      <c r="C189" s="5"/>
      <c r="D189" s="5"/>
      <c r="E189" s="4"/>
      <c r="F189" s="19"/>
      <c r="G189" s="16" t="str">
        <f aca="false">IF($A189="","",SUMIFS('Cash Book'!$D$5:$D$504,'Cash Book'!$G$5:$G$504,$A189))</f>
        <v/>
      </c>
      <c r="H189" s="16" t="str">
        <f aca="false">IF($A189="","",E189-G189)</f>
        <v/>
      </c>
      <c r="I189" s="21" t="str">
        <f aca="true">IF($A189="","",IF(H189&lt;=0,"Paid",IF(F189&lt;TODAY(),"OVERDUE",IF(G189&gt;0,"Part paid","Open"))))</f>
        <v/>
      </c>
      <c r="J189" s="22" t="str">
        <f aca="true">IF($A189="","",IF(AND(H189&gt;0,F189&lt;TODAY()),TODAY()-F189,0))</f>
        <v/>
      </c>
    </row>
    <row r="190" customFormat="false" ht="15" hidden="false" customHeight="false" outlineLevel="0" collapsed="false">
      <c r="A190" s="5"/>
      <c r="B190" s="19"/>
      <c r="C190" s="5"/>
      <c r="D190" s="5"/>
      <c r="E190" s="4"/>
      <c r="F190" s="19"/>
      <c r="G190" s="16" t="str">
        <f aca="false">IF($A190="","",SUMIFS('Cash Book'!$D$5:$D$504,'Cash Book'!$G$5:$G$504,$A190))</f>
        <v/>
      </c>
      <c r="H190" s="16" t="str">
        <f aca="false">IF($A190="","",E190-G190)</f>
        <v/>
      </c>
      <c r="I190" s="21" t="str">
        <f aca="true">IF($A190="","",IF(H190&lt;=0,"Paid",IF(F190&lt;TODAY(),"OVERDUE",IF(G190&gt;0,"Part paid","Open"))))</f>
        <v/>
      </c>
      <c r="J190" s="22" t="str">
        <f aca="true">IF($A190="","",IF(AND(H190&gt;0,F190&lt;TODAY()),TODAY()-F190,0))</f>
        <v/>
      </c>
    </row>
    <row r="191" customFormat="false" ht="15" hidden="false" customHeight="false" outlineLevel="0" collapsed="false">
      <c r="A191" s="5"/>
      <c r="B191" s="19"/>
      <c r="C191" s="5"/>
      <c r="D191" s="5"/>
      <c r="E191" s="4"/>
      <c r="F191" s="19"/>
      <c r="G191" s="16" t="str">
        <f aca="false">IF($A191="","",SUMIFS('Cash Book'!$D$5:$D$504,'Cash Book'!$G$5:$G$504,$A191))</f>
        <v/>
      </c>
      <c r="H191" s="16" t="str">
        <f aca="false">IF($A191="","",E191-G191)</f>
        <v/>
      </c>
      <c r="I191" s="21" t="str">
        <f aca="true">IF($A191="","",IF(H191&lt;=0,"Paid",IF(F191&lt;TODAY(),"OVERDUE",IF(G191&gt;0,"Part paid","Open"))))</f>
        <v/>
      </c>
      <c r="J191" s="22" t="str">
        <f aca="true">IF($A191="","",IF(AND(H191&gt;0,F191&lt;TODAY()),TODAY()-F191,0))</f>
        <v/>
      </c>
    </row>
    <row r="192" customFormat="false" ht="15" hidden="false" customHeight="false" outlineLevel="0" collapsed="false">
      <c r="A192" s="5"/>
      <c r="B192" s="19"/>
      <c r="C192" s="5"/>
      <c r="D192" s="5"/>
      <c r="E192" s="4"/>
      <c r="F192" s="19"/>
      <c r="G192" s="16" t="str">
        <f aca="false">IF($A192="","",SUMIFS('Cash Book'!$D$5:$D$504,'Cash Book'!$G$5:$G$504,$A192))</f>
        <v/>
      </c>
      <c r="H192" s="16" t="str">
        <f aca="false">IF($A192="","",E192-G192)</f>
        <v/>
      </c>
      <c r="I192" s="21" t="str">
        <f aca="true">IF($A192="","",IF(H192&lt;=0,"Paid",IF(F192&lt;TODAY(),"OVERDUE",IF(G192&gt;0,"Part paid","Open"))))</f>
        <v/>
      </c>
      <c r="J192" s="22" t="str">
        <f aca="true">IF($A192="","",IF(AND(H192&gt;0,F192&lt;TODAY()),TODAY()-F192,0))</f>
        <v/>
      </c>
    </row>
    <row r="193" customFormat="false" ht="15" hidden="false" customHeight="false" outlineLevel="0" collapsed="false">
      <c r="A193" s="5"/>
      <c r="B193" s="19"/>
      <c r="C193" s="5"/>
      <c r="D193" s="5"/>
      <c r="E193" s="4"/>
      <c r="F193" s="19"/>
      <c r="G193" s="16" t="str">
        <f aca="false">IF($A193="","",SUMIFS('Cash Book'!$D$5:$D$504,'Cash Book'!$G$5:$G$504,$A193))</f>
        <v/>
      </c>
      <c r="H193" s="16" t="str">
        <f aca="false">IF($A193="","",E193-G193)</f>
        <v/>
      </c>
      <c r="I193" s="21" t="str">
        <f aca="true">IF($A193="","",IF(H193&lt;=0,"Paid",IF(F193&lt;TODAY(),"OVERDUE",IF(G193&gt;0,"Part paid","Open"))))</f>
        <v/>
      </c>
      <c r="J193" s="22" t="str">
        <f aca="true">IF($A193="","",IF(AND(H193&gt;0,F193&lt;TODAY()),TODAY()-F193,0))</f>
        <v/>
      </c>
    </row>
    <row r="194" customFormat="false" ht="15" hidden="false" customHeight="false" outlineLevel="0" collapsed="false">
      <c r="A194" s="5"/>
      <c r="B194" s="19"/>
      <c r="C194" s="5"/>
      <c r="D194" s="5"/>
      <c r="E194" s="4"/>
      <c r="F194" s="19"/>
      <c r="G194" s="16" t="str">
        <f aca="false">IF($A194="","",SUMIFS('Cash Book'!$D$5:$D$504,'Cash Book'!$G$5:$G$504,$A194))</f>
        <v/>
      </c>
      <c r="H194" s="16" t="str">
        <f aca="false">IF($A194="","",E194-G194)</f>
        <v/>
      </c>
      <c r="I194" s="21" t="str">
        <f aca="true">IF($A194="","",IF(H194&lt;=0,"Paid",IF(F194&lt;TODAY(),"OVERDUE",IF(G194&gt;0,"Part paid","Open"))))</f>
        <v/>
      </c>
      <c r="J194" s="22" t="str">
        <f aca="true">IF($A194="","",IF(AND(H194&gt;0,F194&lt;TODAY()),TODAY()-F194,0))</f>
        <v/>
      </c>
    </row>
    <row r="195" customFormat="false" ht="15" hidden="false" customHeight="false" outlineLevel="0" collapsed="false">
      <c r="A195" s="5"/>
      <c r="B195" s="19"/>
      <c r="C195" s="5"/>
      <c r="D195" s="5"/>
      <c r="E195" s="4"/>
      <c r="F195" s="19"/>
      <c r="G195" s="16" t="str">
        <f aca="false">IF($A195="","",SUMIFS('Cash Book'!$D$5:$D$504,'Cash Book'!$G$5:$G$504,$A195))</f>
        <v/>
      </c>
      <c r="H195" s="16" t="str">
        <f aca="false">IF($A195="","",E195-G195)</f>
        <v/>
      </c>
      <c r="I195" s="21" t="str">
        <f aca="true">IF($A195="","",IF(H195&lt;=0,"Paid",IF(F195&lt;TODAY(),"OVERDUE",IF(G195&gt;0,"Part paid","Open"))))</f>
        <v/>
      </c>
      <c r="J195" s="22" t="str">
        <f aca="true">IF($A195="","",IF(AND(H195&gt;0,F195&lt;TODAY()),TODAY()-F195,0))</f>
        <v/>
      </c>
    </row>
    <row r="196" customFormat="false" ht="15" hidden="false" customHeight="false" outlineLevel="0" collapsed="false">
      <c r="A196" s="5"/>
      <c r="B196" s="19"/>
      <c r="C196" s="5"/>
      <c r="D196" s="5"/>
      <c r="E196" s="4"/>
      <c r="F196" s="19"/>
      <c r="G196" s="16" t="str">
        <f aca="false">IF($A196="","",SUMIFS('Cash Book'!$D$5:$D$504,'Cash Book'!$G$5:$G$504,$A196))</f>
        <v/>
      </c>
      <c r="H196" s="16" t="str">
        <f aca="false">IF($A196="","",E196-G196)</f>
        <v/>
      </c>
      <c r="I196" s="21" t="str">
        <f aca="true">IF($A196="","",IF(H196&lt;=0,"Paid",IF(F196&lt;TODAY(),"OVERDUE",IF(G196&gt;0,"Part paid","Open"))))</f>
        <v/>
      </c>
      <c r="J196" s="22" t="str">
        <f aca="true">IF($A196="","",IF(AND(H196&gt;0,F196&lt;TODAY()),TODAY()-F196,0))</f>
        <v/>
      </c>
    </row>
    <row r="197" customFormat="false" ht="15" hidden="false" customHeight="false" outlineLevel="0" collapsed="false">
      <c r="A197" s="5"/>
      <c r="B197" s="19"/>
      <c r="C197" s="5"/>
      <c r="D197" s="5"/>
      <c r="E197" s="4"/>
      <c r="F197" s="19"/>
      <c r="G197" s="16" t="str">
        <f aca="false">IF($A197="","",SUMIFS('Cash Book'!$D$5:$D$504,'Cash Book'!$G$5:$G$504,$A197))</f>
        <v/>
      </c>
      <c r="H197" s="16" t="str">
        <f aca="false">IF($A197="","",E197-G197)</f>
        <v/>
      </c>
      <c r="I197" s="21" t="str">
        <f aca="true">IF($A197="","",IF(H197&lt;=0,"Paid",IF(F197&lt;TODAY(),"OVERDUE",IF(G197&gt;0,"Part paid","Open"))))</f>
        <v/>
      </c>
      <c r="J197" s="22" t="str">
        <f aca="true">IF($A197="","",IF(AND(H197&gt;0,F197&lt;TODAY()),TODAY()-F197,0))</f>
        <v/>
      </c>
    </row>
    <row r="198" customFormat="false" ht="15" hidden="false" customHeight="false" outlineLevel="0" collapsed="false">
      <c r="A198" s="5"/>
      <c r="B198" s="19"/>
      <c r="C198" s="5"/>
      <c r="D198" s="5"/>
      <c r="E198" s="4"/>
      <c r="F198" s="19"/>
      <c r="G198" s="16" t="str">
        <f aca="false">IF($A198="","",SUMIFS('Cash Book'!$D$5:$D$504,'Cash Book'!$G$5:$G$504,$A198))</f>
        <v/>
      </c>
      <c r="H198" s="16" t="str">
        <f aca="false">IF($A198="","",E198-G198)</f>
        <v/>
      </c>
      <c r="I198" s="21" t="str">
        <f aca="true">IF($A198="","",IF(H198&lt;=0,"Paid",IF(F198&lt;TODAY(),"OVERDUE",IF(G198&gt;0,"Part paid","Open"))))</f>
        <v/>
      </c>
      <c r="J198" s="22" t="str">
        <f aca="true">IF($A198="","",IF(AND(H198&gt;0,F198&lt;TODAY()),TODAY()-F198,0))</f>
        <v/>
      </c>
    </row>
    <row r="199" customFormat="false" ht="15" hidden="false" customHeight="false" outlineLevel="0" collapsed="false">
      <c r="A199" s="5"/>
      <c r="B199" s="19"/>
      <c r="C199" s="5"/>
      <c r="D199" s="5"/>
      <c r="E199" s="4"/>
      <c r="F199" s="19"/>
      <c r="G199" s="16" t="str">
        <f aca="false">IF($A199="","",SUMIFS('Cash Book'!$D$5:$D$504,'Cash Book'!$G$5:$G$504,$A199))</f>
        <v/>
      </c>
      <c r="H199" s="16" t="str">
        <f aca="false">IF($A199="","",E199-G199)</f>
        <v/>
      </c>
      <c r="I199" s="21" t="str">
        <f aca="true">IF($A199="","",IF(H199&lt;=0,"Paid",IF(F199&lt;TODAY(),"OVERDUE",IF(G199&gt;0,"Part paid","Open"))))</f>
        <v/>
      </c>
      <c r="J199" s="22" t="str">
        <f aca="true">IF($A199="","",IF(AND(H199&gt;0,F199&lt;TODAY()),TODAY()-F199,0))</f>
        <v/>
      </c>
    </row>
    <row r="200" customFormat="false" ht="15" hidden="false" customHeight="false" outlineLevel="0" collapsed="false">
      <c r="A200" s="5"/>
      <c r="B200" s="19"/>
      <c r="C200" s="5"/>
      <c r="D200" s="5"/>
      <c r="E200" s="4"/>
      <c r="F200" s="19"/>
      <c r="G200" s="16" t="str">
        <f aca="false">IF($A200="","",SUMIFS('Cash Book'!$D$5:$D$504,'Cash Book'!$G$5:$G$504,$A200))</f>
        <v/>
      </c>
      <c r="H200" s="16" t="str">
        <f aca="false">IF($A200="","",E200-G200)</f>
        <v/>
      </c>
      <c r="I200" s="21" t="str">
        <f aca="true">IF($A200="","",IF(H200&lt;=0,"Paid",IF(F200&lt;TODAY(),"OVERDUE",IF(G200&gt;0,"Part paid","Open"))))</f>
        <v/>
      </c>
      <c r="J200" s="22" t="str">
        <f aca="true">IF($A200="","",IF(AND(H200&gt;0,F200&lt;TODAY()),TODAY()-F200,0))</f>
        <v/>
      </c>
    </row>
    <row r="201" customFormat="false" ht="15" hidden="false" customHeight="false" outlineLevel="0" collapsed="false">
      <c r="A201" s="5"/>
      <c r="B201" s="19"/>
      <c r="C201" s="5"/>
      <c r="D201" s="5"/>
      <c r="E201" s="4"/>
      <c r="F201" s="19"/>
      <c r="G201" s="16" t="str">
        <f aca="false">IF($A201="","",SUMIFS('Cash Book'!$D$5:$D$504,'Cash Book'!$G$5:$G$504,$A201))</f>
        <v/>
      </c>
      <c r="H201" s="16" t="str">
        <f aca="false">IF($A201="","",E201-G201)</f>
        <v/>
      </c>
      <c r="I201" s="21" t="str">
        <f aca="true">IF($A201="","",IF(H201&lt;=0,"Paid",IF(F201&lt;TODAY(),"OVERDUE",IF(G201&gt;0,"Part paid","Open"))))</f>
        <v/>
      </c>
      <c r="J201" s="22" t="str">
        <f aca="true">IF($A201="","",IF(AND(H201&gt;0,F201&lt;TODAY()),TODAY()-F201,0))</f>
        <v/>
      </c>
    </row>
    <row r="202" customFormat="false" ht="15" hidden="false" customHeight="false" outlineLevel="0" collapsed="false">
      <c r="A202" s="5"/>
      <c r="B202" s="19"/>
      <c r="C202" s="5"/>
      <c r="D202" s="5"/>
      <c r="E202" s="4"/>
      <c r="F202" s="19"/>
      <c r="G202" s="16" t="str">
        <f aca="false">IF($A202="","",SUMIFS('Cash Book'!$D$5:$D$504,'Cash Book'!$G$5:$G$504,$A202))</f>
        <v/>
      </c>
      <c r="H202" s="16" t="str">
        <f aca="false">IF($A202="","",E202-G202)</f>
        <v/>
      </c>
      <c r="I202" s="21" t="str">
        <f aca="true">IF($A202="","",IF(H202&lt;=0,"Paid",IF(F202&lt;TODAY(),"OVERDUE",IF(G202&gt;0,"Part paid","Open"))))</f>
        <v/>
      </c>
      <c r="J202" s="22" t="str">
        <f aca="true">IF($A202="","",IF(AND(H202&gt;0,F202&lt;TODAY()),TODAY()-F202,0))</f>
        <v/>
      </c>
    </row>
    <row r="203" customFormat="false" ht="15" hidden="false" customHeight="false" outlineLevel="0" collapsed="false">
      <c r="A203" s="5"/>
      <c r="B203" s="19"/>
      <c r="C203" s="5"/>
      <c r="D203" s="5"/>
      <c r="E203" s="4"/>
      <c r="F203" s="19"/>
      <c r="G203" s="16" t="str">
        <f aca="false">IF($A203="","",SUMIFS('Cash Book'!$D$5:$D$504,'Cash Book'!$G$5:$G$504,$A203))</f>
        <v/>
      </c>
      <c r="H203" s="16" t="str">
        <f aca="false">IF($A203="","",E203-G203)</f>
        <v/>
      </c>
      <c r="I203" s="21" t="str">
        <f aca="true">IF($A203="","",IF(H203&lt;=0,"Paid",IF(F203&lt;TODAY(),"OVERDUE",IF(G203&gt;0,"Part paid","Open"))))</f>
        <v/>
      </c>
      <c r="J203" s="22" t="str">
        <f aca="true">IF($A203="","",IF(AND(H203&gt;0,F203&lt;TODAY()),TODAY()-F203,0))</f>
        <v/>
      </c>
    </row>
    <row r="204" customFormat="false" ht="15" hidden="false" customHeight="false" outlineLevel="0" collapsed="false">
      <c r="A204" s="5"/>
      <c r="B204" s="19"/>
      <c r="C204" s="5"/>
      <c r="D204" s="5"/>
      <c r="E204" s="4"/>
      <c r="F204" s="19"/>
      <c r="G204" s="16" t="str">
        <f aca="false">IF($A204="","",SUMIFS('Cash Book'!$D$5:$D$504,'Cash Book'!$G$5:$G$504,$A204))</f>
        <v/>
      </c>
      <c r="H204" s="16" t="str">
        <f aca="false">IF($A204="","",E204-G204)</f>
        <v/>
      </c>
      <c r="I204" s="21" t="str">
        <f aca="true">IF($A204="","",IF(H204&lt;=0,"Paid",IF(F204&lt;TODAY(),"OVERDUE",IF(G204&gt;0,"Part paid","Open"))))</f>
        <v/>
      </c>
      <c r="J204" s="22" t="str">
        <f aca="true">IF($A204="","",IF(AND(H204&gt;0,F204&lt;TODAY()),TODAY()-F204,0))</f>
        <v/>
      </c>
    </row>
    <row r="205" customFormat="false" ht="15" hidden="false" customHeight="false" outlineLevel="0" collapsed="false">
      <c r="A205" s="5"/>
      <c r="B205" s="19"/>
      <c r="C205" s="5"/>
      <c r="D205" s="5"/>
      <c r="E205" s="4"/>
      <c r="F205" s="19"/>
      <c r="G205" s="16" t="str">
        <f aca="false">IF($A205="","",SUMIFS('Cash Book'!$D$5:$D$504,'Cash Book'!$G$5:$G$504,$A205))</f>
        <v/>
      </c>
      <c r="H205" s="16" t="str">
        <f aca="false">IF($A205="","",E205-G205)</f>
        <v/>
      </c>
      <c r="I205" s="21" t="str">
        <f aca="true">IF($A205="","",IF(H205&lt;=0,"Paid",IF(F205&lt;TODAY(),"OVERDUE",IF(G205&gt;0,"Part paid","Open"))))</f>
        <v/>
      </c>
      <c r="J205" s="22" t="str">
        <f aca="true">IF($A205="","",IF(AND(H205&gt;0,F205&lt;TODAY()),TODAY()-F205,0))</f>
        <v/>
      </c>
    </row>
    <row r="206" customFormat="false" ht="15" hidden="false" customHeight="false" outlineLevel="0" collapsed="false">
      <c r="A206" s="5"/>
      <c r="B206" s="19"/>
      <c r="C206" s="5"/>
      <c r="D206" s="5"/>
      <c r="E206" s="4"/>
      <c r="F206" s="19"/>
      <c r="G206" s="16" t="str">
        <f aca="false">IF($A206="","",SUMIFS('Cash Book'!$D$5:$D$504,'Cash Book'!$G$5:$G$504,$A206))</f>
        <v/>
      </c>
      <c r="H206" s="16" t="str">
        <f aca="false">IF($A206="","",E206-G206)</f>
        <v/>
      </c>
      <c r="I206" s="21" t="str">
        <f aca="true">IF($A206="","",IF(H206&lt;=0,"Paid",IF(F206&lt;TODAY(),"OVERDUE",IF(G206&gt;0,"Part paid","Open"))))</f>
        <v/>
      </c>
      <c r="J206" s="22" t="str">
        <f aca="true">IF($A206="","",IF(AND(H206&gt;0,F206&lt;TODAY()),TODAY()-F206,0))</f>
        <v/>
      </c>
    </row>
    <row r="207" customFormat="false" ht="15" hidden="false" customHeight="false" outlineLevel="0" collapsed="false">
      <c r="A207" s="5"/>
      <c r="B207" s="19"/>
      <c r="C207" s="5"/>
      <c r="D207" s="5"/>
      <c r="E207" s="4"/>
      <c r="F207" s="19"/>
      <c r="G207" s="16" t="str">
        <f aca="false">IF($A207="","",SUMIFS('Cash Book'!$D$5:$D$504,'Cash Book'!$G$5:$G$504,$A207))</f>
        <v/>
      </c>
      <c r="H207" s="16" t="str">
        <f aca="false">IF($A207="","",E207-G207)</f>
        <v/>
      </c>
      <c r="I207" s="21" t="str">
        <f aca="true">IF($A207="","",IF(H207&lt;=0,"Paid",IF(F207&lt;TODAY(),"OVERDUE",IF(G207&gt;0,"Part paid","Open"))))</f>
        <v/>
      </c>
      <c r="J207" s="22" t="str">
        <f aca="true">IF($A207="","",IF(AND(H207&gt;0,F207&lt;TODAY()),TODAY()-F207,0))</f>
        <v/>
      </c>
    </row>
    <row r="208" customFormat="false" ht="15" hidden="false" customHeight="false" outlineLevel="0" collapsed="false">
      <c r="A208" s="5"/>
      <c r="B208" s="19"/>
      <c r="C208" s="5"/>
      <c r="D208" s="5"/>
      <c r="E208" s="4"/>
      <c r="F208" s="19"/>
      <c r="G208" s="16" t="str">
        <f aca="false">IF($A208="","",SUMIFS('Cash Book'!$D$5:$D$504,'Cash Book'!$G$5:$G$504,$A208))</f>
        <v/>
      </c>
      <c r="H208" s="16" t="str">
        <f aca="false">IF($A208="","",E208-G208)</f>
        <v/>
      </c>
      <c r="I208" s="21" t="str">
        <f aca="true">IF($A208="","",IF(H208&lt;=0,"Paid",IF(F208&lt;TODAY(),"OVERDUE",IF(G208&gt;0,"Part paid","Open"))))</f>
        <v/>
      </c>
      <c r="J208" s="22" t="str">
        <f aca="true">IF($A208="","",IF(AND(H208&gt;0,F208&lt;TODAY()),TODAY()-F208,0))</f>
        <v/>
      </c>
    </row>
    <row r="209" customFormat="false" ht="15" hidden="false" customHeight="false" outlineLevel="0" collapsed="false">
      <c r="A209" s="5"/>
      <c r="B209" s="19"/>
      <c r="C209" s="5"/>
      <c r="D209" s="5"/>
      <c r="E209" s="4"/>
      <c r="F209" s="19"/>
      <c r="G209" s="16" t="str">
        <f aca="false">IF($A209="","",SUMIFS('Cash Book'!$D$5:$D$504,'Cash Book'!$G$5:$G$504,$A209))</f>
        <v/>
      </c>
      <c r="H209" s="16" t="str">
        <f aca="false">IF($A209="","",E209-G209)</f>
        <v/>
      </c>
      <c r="I209" s="21" t="str">
        <f aca="true">IF($A209="","",IF(H209&lt;=0,"Paid",IF(F209&lt;TODAY(),"OVERDUE",IF(G209&gt;0,"Part paid","Open"))))</f>
        <v/>
      </c>
      <c r="J209" s="22" t="str">
        <f aca="true">IF($A209="","",IF(AND(H209&gt;0,F209&lt;TODAY()),TODAY()-F209,0))</f>
        <v/>
      </c>
    </row>
    <row r="210" customFormat="false" ht="15" hidden="false" customHeight="false" outlineLevel="0" collapsed="false">
      <c r="A210" s="5"/>
      <c r="B210" s="19"/>
      <c r="C210" s="5"/>
      <c r="D210" s="5"/>
      <c r="E210" s="4"/>
      <c r="F210" s="19"/>
      <c r="G210" s="16" t="str">
        <f aca="false">IF($A210="","",SUMIFS('Cash Book'!$D$5:$D$504,'Cash Book'!$G$5:$G$504,$A210))</f>
        <v/>
      </c>
      <c r="H210" s="16" t="str">
        <f aca="false">IF($A210="","",E210-G210)</f>
        <v/>
      </c>
      <c r="I210" s="21" t="str">
        <f aca="true">IF($A210="","",IF(H210&lt;=0,"Paid",IF(F210&lt;TODAY(),"OVERDUE",IF(G210&gt;0,"Part paid","Open"))))</f>
        <v/>
      </c>
      <c r="J210" s="22" t="str">
        <f aca="true">IF($A210="","",IF(AND(H210&gt;0,F210&lt;TODAY()),TODAY()-F210,0))</f>
        <v/>
      </c>
    </row>
    <row r="211" customFormat="false" ht="15" hidden="false" customHeight="false" outlineLevel="0" collapsed="false">
      <c r="A211" s="5"/>
      <c r="B211" s="19"/>
      <c r="C211" s="5"/>
      <c r="D211" s="5"/>
      <c r="E211" s="4"/>
      <c r="F211" s="19"/>
      <c r="G211" s="16" t="str">
        <f aca="false">IF($A211="","",SUMIFS('Cash Book'!$D$5:$D$504,'Cash Book'!$G$5:$G$504,$A211))</f>
        <v/>
      </c>
      <c r="H211" s="16" t="str">
        <f aca="false">IF($A211="","",E211-G211)</f>
        <v/>
      </c>
      <c r="I211" s="21" t="str">
        <f aca="true">IF($A211="","",IF(H211&lt;=0,"Paid",IF(F211&lt;TODAY(),"OVERDUE",IF(G211&gt;0,"Part paid","Open"))))</f>
        <v/>
      </c>
      <c r="J211" s="22" t="str">
        <f aca="true">IF($A211="","",IF(AND(H211&gt;0,F211&lt;TODAY()),TODAY()-F211,0))</f>
        <v/>
      </c>
    </row>
    <row r="212" customFormat="false" ht="15" hidden="false" customHeight="false" outlineLevel="0" collapsed="false">
      <c r="A212" s="5"/>
      <c r="B212" s="19"/>
      <c r="C212" s="5"/>
      <c r="D212" s="5"/>
      <c r="E212" s="4"/>
      <c r="F212" s="19"/>
      <c r="G212" s="16" t="str">
        <f aca="false">IF($A212="","",SUMIFS('Cash Book'!$D$5:$D$504,'Cash Book'!$G$5:$G$504,$A212))</f>
        <v/>
      </c>
      <c r="H212" s="16" t="str">
        <f aca="false">IF($A212="","",E212-G212)</f>
        <v/>
      </c>
      <c r="I212" s="21" t="str">
        <f aca="true">IF($A212="","",IF(H212&lt;=0,"Paid",IF(F212&lt;TODAY(),"OVERDUE",IF(G212&gt;0,"Part paid","Open"))))</f>
        <v/>
      </c>
      <c r="J212" s="22" t="str">
        <f aca="true">IF($A212="","",IF(AND(H212&gt;0,F212&lt;TODAY()),TODAY()-F212,0))</f>
        <v/>
      </c>
    </row>
    <row r="213" customFormat="false" ht="15" hidden="false" customHeight="false" outlineLevel="0" collapsed="false">
      <c r="A213" s="5"/>
      <c r="B213" s="19"/>
      <c r="C213" s="5"/>
      <c r="D213" s="5"/>
      <c r="E213" s="4"/>
      <c r="F213" s="19"/>
      <c r="G213" s="16" t="str">
        <f aca="false">IF($A213="","",SUMIFS('Cash Book'!$D$5:$D$504,'Cash Book'!$G$5:$G$504,$A213))</f>
        <v/>
      </c>
      <c r="H213" s="16" t="str">
        <f aca="false">IF($A213="","",E213-G213)</f>
        <v/>
      </c>
      <c r="I213" s="21" t="str">
        <f aca="true">IF($A213="","",IF(H213&lt;=0,"Paid",IF(F213&lt;TODAY(),"OVERDUE",IF(G213&gt;0,"Part paid","Open"))))</f>
        <v/>
      </c>
      <c r="J213" s="22" t="str">
        <f aca="true">IF($A213="","",IF(AND(H213&gt;0,F213&lt;TODAY()),TODAY()-F213,0))</f>
        <v/>
      </c>
    </row>
    <row r="214" customFormat="false" ht="15" hidden="false" customHeight="false" outlineLevel="0" collapsed="false">
      <c r="A214" s="5"/>
      <c r="B214" s="19"/>
      <c r="C214" s="5"/>
      <c r="D214" s="5"/>
      <c r="E214" s="4"/>
      <c r="F214" s="19"/>
      <c r="G214" s="16" t="str">
        <f aca="false">IF($A214="","",SUMIFS('Cash Book'!$D$5:$D$504,'Cash Book'!$G$5:$G$504,$A214))</f>
        <v/>
      </c>
      <c r="H214" s="16" t="str">
        <f aca="false">IF($A214="","",E214-G214)</f>
        <v/>
      </c>
      <c r="I214" s="21" t="str">
        <f aca="true">IF($A214="","",IF(H214&lt;=0,"Paid",IF(F214&lt;TODAY(),"OVERDUE",IF(G214&gt;0,"Part paid","Open"))))</f>
        <v/>
      </c>
      <c r="J214" s="22" t="str">
        <f aca="true">IF($A214="","",IF(AND(H214&gt;0,F214&lt;TODAY()),TODAY()-F214,0))</f>
        <v/>
      </c>
    </row>
    <row r="215" customFormat="false" ht="15" hidden="false" customHeight="false" outlineLevel="0" collapsed="false">
      <c r="A215" s="5"/>
      <c r="B215" s="19"/>
      <c r="C215" s="5"/>
      <c r="D215" s="5"/>
      <c r="E215" s="4"/>
      <c r="F215" s="19"/>
      <c r="G215" s="16" t="str">
        <f aca="false">IF($A215="","",SUMIFS('Cash Book'!$D$5:$D$504,'Cash Book'!$G$5:$G$504,$A215))</f>
        <v/>
      </c>
      <c r="H215" s="16" t="str">
        <f aca="false">IF($A215="","",E215-G215)</f>
        <v/>
      </c>
      <c r="I215" s="21" t="str">
        <f aca="true">IF($A215="","",IF(H215&lt;=0,"Paid",IF(F215&lt;TODAY(),"OVERDUE",IF(G215&gt;0,"Part paid","Open"))))</f>
        <v/>
      </c>
      <c r="J215" s="22" t="str">
        <f aca="true">IF($A215="","",IF(AND(H215&gt;0,F215&lt;TODAY()),TODAY()-F215,0))</f>
        <v/>
      </c>
    </row>
    <row r="216" customFormat="false" ht="15" hidden="false" customHeight="false" outlineLevel="0" collapsed="false">
      <c r="A216" s="5"/>
      <c r="B216" s="19"/>
      <c r="C216" s="5"/>
      <c r="D216" s="5"/>
      <c r="E216" s="4"/>
      <c r="F216" s="19"/>
      <c r="G216" s="16" t="str">
        <f aca="false">IF($A216="","",SUMIFS('Cash Book'!$D$5:$D$504,'Cash Book'!$G$5:$G$504,$A216))</f>
        <v/>
      </c>
      <c r="H216" s="16" t="str">
        <f aca="false">IF($A216="","",E216-G216)</f>
        <v/>
      </c>
      <c r="I216" s="21" t="str">
        <f aca="true">IF($A216="","",IF(H216&lt;=0,"Paid",IF(F216&lt;TODAY(),"OVERDUE",IF(G216&gt;0,"Part paid","Open"))))</f>
        <v/>
      </c>
      <c r="J216" s="22" t="str">
        <f aca="true">IF($A216="","",IF(AND(H216&gt;0,F216&lt;TODAY()),TODAY()-F216,0))</f>
        <v/>
      </c>
    </row>
    <row r="217" customFormat="false" ht="15" hidden="false" customHeight="false" outlineLevel="0" collapsed="false">
      <c r="A217" s="5"/>
      <c r="B217" s="19"/>
      <c r="C217" s="5"/>
      <c r="D217" s="5"/>
      <c r="E217" s="4"/>
      <c r="F217" s="19"/>
      <c r="G217" s="16" t="str">
        <f aca="false">IF($A217="","",SUMIFS('Cash Book'!$D$5:$D$504,'Cash Book'!$G$5:$G$504,$A217))</f>
        <v/>
      </c>
      <c r="H217" s="16" t="str">
        <f aca="false">IF($A217="","",E217-G217)</f>
        <v/>
      </c>
      <c r="I217" s="21" t="str">
        <f aca="true">IF($A217="","",IF(H217&lt;=0,"Paid",IF(F217&lt;TODAY(),"OVERDUE",IF(G217&gt;0,"Part paid","Open"))))</f>
        <v/>
      </c>
      <c r="J217" s="22" t="str">
        <f aca="true">IF($A217="","",IF(AND(H217&gt;0,F217&lt;TODAY()),TODAY()-F217,0))</f>
        <v/>
      </c>
    </row>
    <row r="218" customFormat="false" ht="15" hidden="false" customHeight="false" outlineLevel="0" collapsed="false">
      <c r="A218" s="5"/>
      <c r="B218" s="19"/>
      <c r="C218" s="5"/>
      <c r="D218" s="5"/>
      <c r="E218" s="4"/>
      <c r="F218" s="19"/>
      <c r="G218" s="16" t="str">
        <f aca="false">IF($A218="","",SUMIFS('Cash Book'!$D$5:$D$504,'Cash Book'!$G$5:$G$504,$A218))</f>
        <v/>
      </c>
      <c r="H218" s="16" t="str">
        <f aca="false">IF($A218="","",E218-G218)</f>
        <v/>
      </c>
      <c r="I218" s="21" t="str">
        <f aca="true">IF($A218="","",IF(H218&lt;=0,"Paid",IF(F218&lt;TODAY(),"OVERDUE",IF(G218&gt;0,"Part paid","Open"))))</f>
        <v/>
      </c>
      <c r="J218" s="22" t="str">
        <f aca="true">IF($A218="","",IF(AND(H218&gt;0,F218&lt;TODAY()),TODAY()-F218,0))</f>
        <v/>
      </c>
    </row>
    <row r="219" customFormat="false" ht="15" hidden="false" customHeight="false" outlineLevel="0" collapsed="false">
      <c r="A219" s="5"/>
      <c r="B219" s="19"/>
      <c r="C219" s="5"/>
      <c r="D219" s="5"/>
      <c r="E219" s="4"/>
      <c r="F219" s="19"/>
      <c r="G219" s="16" t="str">
        <f aca="false">IF($A219="","",SUMIFS('Cash Book'!$D$5:$D$504,'Cash Book'!$G$5:$G$504,$A219))</f>
        <v/>
      </c>
      <c r="H219" s="16" t="str">
        <f aca="false">IF($A219="","",E219-G219)</f>
        <v/>
      </c>
      <c r="I219" s="21" t="str">
        <f aca="true">IF($A219="","",IF(H219&lt;=0,"Paid",IF(F219&lt;TODAY(),"OVERDUE",IF(G219&gt;0,"Part paid","Open"))))</f>
        <v/>
      </c>
      <c r="J219" s="22" t="str">
        <f aca="true">IF($A219="","",IF(AND(H219&gt;0,F219&lt;TODAY()),TODAY()-F219,0))</f>
        <v/>
      </c>
    </row>
    <row r="220" customFormat="false" ht="15" hidden="false" customHeight="false" outlineLevel="0" collapsed="false">
      <c r="A220" s="5"/>
      <c r="B220" s="19"/>
      <c r="C220" s="5"/>
      <c r="D220" s="5"/>
      <c r="E220" s="4"/>
      <c r="F220" s="19"/>
      <c r="G220" s="16" t="str">
        <f aca="false">IF($A220="","",SUMIFS('Cash Book'!$D$5:$D$504,'Cash Book'!$G$5:$G$504,$A220))</f>
        <v/>
      </c>
      <c r="H220" s="16" t="str">
        <f aca="false">IF($A220="","",E220-G220)</f>
        <v/>
      </c>
      <c r="I220" s="21" t="str">
        <f aca="true">IF($A220="","",IF(H220&lt;=0,"Paid",IF(F220&lt;TODAY(),"OVERDUE",IF(G220&gt;0,"Part paid","Open"))))</f>
        <v/>
      </c>
      <c r="J220" s="22" t="str">
        <f aca="true">IF($A220="","",IF(AND(H220&gt;0,F220&lt;TODAY()),TODAY()-F220,0))</f>
        <v/>
      </c>
    </row>
    <row r="221" customFormat="false" ht="15" hidden="false" customHeight="false" outlineLevel="0" collapsed="false">
      <c r="A221" s="5"/>
      <c r="B221" s="19"/>
      <c r="C221" s="5"/>
      <c r="D221" s="5"/>
      <c r="E221" s="4"/>
      <c r="F221" s="19"/>
      <c r="G221" s="16" t="str">
        <f aca="false">IF($A221="","",SUMIFS('Cash Book'!$D$5:$D$504,'Cash Book'!$G$5:$G$504,$A221))</f>
        <v/>
      </c>
      <c r="H221" s="16" t="str">
        <f aca="false">IF($A221="","",E221-G221)</f>
        <v/>
      </c>
      <c r="I221" s="21" t="str">
        <f aca="true">IF($A221="","",IF(H221&lt;=0,"Paid",IF(F221&lt;TODAY(),"OVERDUE",IF(G221&gt;0,"Part paid","Open"))))</f>
        <v/>
      </c>
      <c r="J221" s="22" t="str">
        <f aca="true">IF($A221="","",IF(AND(H221&gt;0,F221&lt;TODAY()),TODAY()-F221,0))</f>
        <v/>
      </c>
    </row>
    <row r="222" customFormat="false" ht="15" hidden="false" customHeight="false" outlineLevel="0" collapsed="false">
      <c r="A222" s="5"/>
      <c r="B222" s="19"/>
      <c r="C222" s="5"/>
      <c r="D222" s="5"/>
      <c r="E222" s="4"/>
      <c r="F222" s="19"/>
      <c r="G222" s="16" t="str">
        <f aca="false">IF($A222="","",SUMIFS('Cash Book'!$D$5:$D$504,'Cash Book'!$G$5:$G$504,$A222))</f>
        <v/>
      </c>
      <c r="H222" s="16" t="str">
        <f aca="false">IF($A222="","",E222-G222)</f>
        <v/>
      </c>
      <c r="I222" s="21" t="str">
        <f aca="true">IF($A222="","",IF(H222&lt;=0,"Paid",IF(F222&lt;TODAY(),"OVERDUE",IF(G222&gt;0,"Part paid","Open"))))</f>
        <v/>
      </c>
      <c r="J222" s="22" t="str">
        <f aca="true">IF($A222="","",IF(AND(H222&gt;0,F222&lt;TODAY()),TODAY()-F222,0))</f>
        <v/>
      </c>
    </row>
    <row r="223" customFormat="false" ht="15" hidden="false" customHeight="false" outlineLevel="0" collapsed="false">
      <c r="A223" s="5"/>
      <c r="B223" s="19"/>
      <c r="C223" s="5"/>
      <c r="D223" s="5"/>
      <c r="E223" s="4"/>
      <c r="F223" s="19"/>
      <c r="G223" s="16" t="str">
        <f aca="false">IF($A223="","",SUMIFS('Cash Book'!$D$5:$D$504,'Cash Book'!$G$5:$G$504,$A223))</f>
        <v/>
      </c>
      <c r="H223" s="16" t="str">
        <f aca="false">IF($A223="","",E223-G223)</f>
        <v/>
      </c>
      <c r="I223" s="21" t="str">
        <f aca="true">IF($A223="","",IF(H223&lt;=0,"Paid",IF(F223&lt;TODAY(),"OVERDUE",IF(G223&gt;0,"Part paid","Open"))))</f>
        <v/>
      </c>
      <c r="J223" s="22" t="str">
        <f aca="true">IF($A223="","",IF(AND(H223&gt;0,F223&lt;TODAY()),TODAY()-F223,0))</f>
        <v/>
      </c>
    </row>
    <row r="224" customFormat="false" ht="15" hidden="false" customHeight="false" outlineLevel="0" collapsed="false">
      <c r="A224" s="5"/>
      <c r="B224" s="19"/>
      <c r="C224" s="5"/>
      <c r="D224" s="5"/>
      <c r="E224" s="4"/>
      <c r="F224" s="19"/>
      <c r="G224" s="16" t="str">
        <f aca="false">IF($A224="","",SUMIFS('Cash Book'!$D$5:$D$504,'Cash Book'!$G$5:$G$504,$A224))</f>
        <v/>
      </c>
      <c r="H224" s="16" t="str">
        <f aca="false">IF($A224="","",E224-G224)</f>
        <v/>
      </c>
      <c r="I224" s="21" t="str">
        <f aca="true">IF($A224="","",IF(H224&lt;=0,"Paid",IF(F224&lt;TODAY(),"OVERDUE",IF(G224&gt;0,"Part paid","Open"))))</f>
        <v/>
      </c>
      <c r="J224" s="22" t="str">
        <f aca="true">IF($A224="","",IF(AND(H224&gt;0,F224&lt;TODAY()),TODAY()-F224,0))</f>
        <v/>
      </c>
    </row>
    <row r="225" customFormat="false" ht="15" hidden="false" customHeight="false" outlineLevel="0" collapsed="false">
      <c r="A225" s="5"/>
      <c r="B225" s="19"/>
      <c r="C225" s="5"/>
      <c r="D225" s="5"/>
      <c r="E225" s="4"/>
      <c r="F225" s="19"/>
      <c r="G225" s="16" t="str">
        <f aca="false">IF($A225="","",SUMIFS('Cash Book'!$D$5:$D$504,'Cash Book'!$G$5:$G$504,$A225))</f>
        <v/>
      </c>
      <c r="H225" s="16" t="str">
        <f aca="false">IF($A225="","",E225-G225)</f>
        <v/>
      </c>
      <c r="I225" s="21" t="str">
        <f aca="true">IF($A225="","",IF(H225&lt;=0,"Paid",IF(F225&lt;TODAY(),"OVERDUE",IF(G225&gt;0,"Part paid","Open"))))</f>
        <v/>
      </c>
      <c r="J225" s="22" t="str">
        <f aca="true">IF($A225="","",IF(AND(H225&gt;0,F225&lt;TODAY()),TODAY()-F225,0))</f>
        <v/>
      </c>
    </row>
    <row r="226" customFormat="false" ht="15" hidden="false" customHeight="false" outlineLevel="0" collapsed="false">
      <c r="A226" s="5"/>
      <c r="B226" s="19"/>
      <c r="C226" s="5"/>
      <c r="D226" s="5"/>
      <c r="E226" s="4"/>
      <c r="F226" s="19"/>
      <c r="G226" s="16" t="str">
        <f aca="false">IF($A226="","",SUMIFS('Cash Book'!$D$5:$D$504,'Cash Book'!$G$5:$G$504,$A226))</f>
        <v/>
      </c>
      <c r="H226" s="16" t="str">
        <f aca="false">IF($A226="","",E226-G226)</f>
        <v/>
      </c>
      <c r="I226" s="21" t="str">
        <f aca="true">IF($A226="","",IF(H226&lt;=0,"Paid",IF(F226&lt;TODAY(),"OVERDUE",IF(G226&gt;0,"Part paid","Open"))))</f>
        <v/>
      </c>
      <c r="J226" s="22" t="str">
        <f aca="true">IF($A226="","",IF(AND(H226&gt;0,F226&lt;TODAY()),TODAY()-F226,0))</f>
        <v/>
      </c>
    </row>
    <row r="227" customFormat="false" ht="15" hidden="false" customHeight="false" outlineLevel="0" collapsed="false">
      <c r="A227" s="5"/>
      <c r="B227" s="19"/>
      <c r="C227" s="5"/>
      <c r="D227" s="5"/>
      <c r="E227" s="4"/>
      <c r="F227" s="19"/>
      <c r="G227" s="16" t="str">
        <f aca="false">IF($A227="","",SUMIFS('Cash Book'!$D$5:$D$504,'Cash Book'!$G$5:$G$504,$A227))</f>
        <v/>
      </c>
      <c r="H227" s="16" t="str">
        <f aca="false">IF($A227="","",E227-G227)</f>
        <v/>
      </c>
      <c r="I227" s="21" t="str">
        <f aca="true">IF($A227="","",IF(H227&lt;=0,"Paid",IF(F227&lt;TODAY(),"OVERDUE",IF(G227&gt;0,"Part paid","Open"))))</f>
        <v/>
      </c>
      <c r="J227" s="22" t="str">
        <f aca="true">IF($A227="","",IF(AND(H227&gt;0,F227&lt;TODAY()),TODAY()-F227,0))</f>
        <v/>
      </c>
    </row>
    <row r="228" customFormat="false" ht="15" hidden="false" customHeight="false" outlineLevel="0" collapsed="false">
      <c r="A228" s="5"/>
      <c r="B228" s="19"/>
      <c r="C228" s="5"/>
      <c r="D228" s="5"/>
      <c r="E228" s="4"/>
      <c r="F228" s="19"/>
      <c r="G228" s="16" t="str">
        <f aca="false">IF($A228="","",SUMIFS('Cash Book'!$D$5:$D$504,'Cash Book'!$G$5:$G$504,$A228))</f>
        <v/>
      </c>
      <c r="H228" s="16" t="str">
        <f aca="false">IF($A228="","",E228-G228)</f>
        <v/>
      </c>
      <c r="I228" s="21" t="str">
        <f aca="true">IF($A228="","",IF(H228&lt;=0,"Paid",IF(F228&lt;TODAY(),"OVERDUE",IF(G228&gt;0,"Part paid","Open"))))</f>
        <v/>
      </c>
      <c r="J228" s="22" t="str">
        <f aca="true">IF($A228="","",IF(AND(H228&gt;0,F228&lt;TODAY()),TODAY()-F228,0))</f>
        <v/>
      </c>
    </row>
    <row r="229" customFormat="false" ht="15" hidden="false" customHeight="false" outlineLevel="0" collapsed="false">
      <c r="A229" s="5"/>
      <c r="B229" s="19"/>
      <c r="C229" s="5"/>
      <c r="D229" s="5"/>
      <c r="E229" s="4"/>
      <c r="F229" s="19"/>
      <c r="G229" s="16" t="str">
        <f aca="false">IF($A229="","",SUMIFS('Cash Book'!$D$5:$D$504,'Cash Book'!$G$5:$G$504,$A229))</f>
        <v/>
      </c>
      <c r="H229" s="16" t="str">
        <f aca="false">IF($A229="","",E229-G229)</f>
        <v/>
      </c>
      <c r="I229" s="21" t="str">
        <f aca="true">IF($A229="","",IF(H229&lt;=0,"Paid",IF(F229&lt;TODAY(),"OVERDUE",IF(G229&gt;0,"Part paid","Open"))))</f>
        <v/>
      </c>
      <c r="J229" s="22" t="str">
        <f aca="true">IF($A229="","",IF(AND(H229&gt;0,F229&lt;TODAY()),TODAY()-F229,0))</f>
        <v/>
      </c>
    </row>
    <row r="230" customFormat="false" ht="15" hidden="false" customHeight="false" outlineLevel="0" collapsed="false">
      <c r="A230" s="5"/>
      <c r="B230" s="19"/>
      <c r="C230" s="5"/>
      <c r="D230" s="5"/>
      <c r="E230" s="4"/>
      <c r="F230" s="19"/>
      <c r="G230" s="16" t="str">
        <f aca="false">IF($A230="","",SUMIFS('Cash Book'!$D$5:$D$504,'Cash Book'!$G$5:$G$504,$A230))</f>
        <v/>
      </c>
      <c r="H230" s="16" t="str">
        <f aca="false">IF($A230="","",E230-G230)</f>
        <v/>
      </c>
      <c r="I230" s="21" t="str">
        <f aca="true">IF($A230="","",IF(H230&lt;=0,"Paid",IF(F230&lt;TODAY(),"OVERDUE",IF(G230&gt;0,"Part paid","Open"))))</f>
        <v/>
      </c>
      <c r="J230" s="22" t="str">
        <f aca="true">IF($A230="","",IF(AND(H230&gt;0,F230&lt;TODAY()),TODAY()-F230,0))</f>
        <v/>
      </c>
    </row>
    <row r="231" customFormat="false" ht="15" hidden="false" customHeight="false" outlineLevel="0" collapsed="false">
      <c r="A231" s="5"/>
      <c r="B231" s="19"/>
      <c r="C231" s="5"/>
      <c r="D231" s="5"/>
      <c r="E231" s="4"/>
      <c r="F231" s="19"/>
      <c r="G231" s="16" t="str">
        <f aca="false">IF($A231="","",SUMIFS('Cash Book'!$D$5:$D$504,'Cash Book'!$G$5:$G$504,$A231))</f>
        <v/>
      </c>
      <c r="H231" s="16" t="str">
        <f aca="false">IF($A231="","",E231-G231)</f>
        <v/>
      </c>
      <c r="I231" s="21" t="str">
        <f aca="true">IF($A231="","",IF(H231&lt;=0,"Paid",IF(F231&lt;TODAY(),"OVERDUE",IF(G231&gt;0,"Part paid","Open"))))</f>
        <v/>
      </c>
      <c r="J231" s="22" t="str">
        <f aca="true">IF($A231="","",IF(AND(H231&gt;0,F231&lt;TODAY()),TODAY()-F231,0))</f>
        <v/>
      </c>
    </row>
    <row r="232" customFormat="false" ht="15" hidden="false" customHeight="false" outlineLevel="0" collapsed="false">
      <c r="A232" s="5"/>
      <c r="B232" s="19"/>
      <c r="C232" s="5"/>
      <c r="D232" s="5"/>
      <c r="E232" s="4"/>
      <c r="F232" s="19"/>
      <c r="G232" s="16" t="str">
        <f aca="false">IF($A232="","",SUMIFS('Cash Book'!$D$5:$D$504,'Cash Book'!$G$5:$G$504,$A232))</f>
        <v/>
      </c>
      <c r="H232" s="16" t="str">
        <f aca="false">IF($A232="","",E232-G232)</f>
        <v/>
      </c>
      <c r="I232" s="21" t="str">
        <f aca="true">IF($A232="","",IF(H232&lt;=0,"Paid",IF(F232&lt;TODAY(),"OVERDUE",IF(G232&gt;0,"Part paid","Open"))))</f>
        <v/>
      </c>
      <c r="J232" s="22" t="str">
        <f aca="true">IF($A232="","",IF(AND(H232&gt;0,F232&lt;TODAY()),TODAY()-F232,0))</f>
        <v/>
      </c>
    </row>
    <row r="233" customFormat="false" ht="15" hidden="false" customHeight="false" outlineLevel="0" collapsed="false">
      <c r="A233" s="5"/>
      <c r="B233" s="19"/>
      <c r="C233" s="5"/>
      <c r="D233" s="5"/>
      <c r="E233" s="4"/>
      <c r="F233" s="19"/>
      <c r="G233" s="16" t="str">
        <f aca="false">IF($A233="","",SUMIFS('Cash Book'!$D$5:$D$504,'Cash Book'!$G$5:$G$504,$A233))</f>
        <v/>
      </c>
      <c r="H233" s="16" t="str">
        <f aca="false">IF($A233="","",E233-G233)</f>
        <v/>
      </c>
      <c r="I233" s="21" t="str">
        <f aca="true">IF($A233="","",IF(H233&lt;=0,"Paid",IF(F233&lt;TODAY(),"OVERDUE",IF(G233&gt;0,"Part paid","Open"))))</f>
        <v/>
      </c>
      <c r="J233" s="22" t="str">
        <f aca="true">IF($A233="","",IF(AND(H233&gt;0,F233&lt;TODAY()),TODAY()-F233,0))</f>
        <v/>
      </c>
    </row>
    <row r="234" customFormat="false" ht="15" hidden="false" customHeight="false" outlineLevel="0" collapsed="false">
      <c r="A234" s="5"/>
      <c r="B234" s="19"/>
      <c r="C234" s="5"/>
      <c r="D234" s="5"/>
      <c r="E234" s="4"/>
      <c r="F234" s="19"/>
      <c r="G234" s="16" t="str">
        <f aca="false">IF($A234="","",SUMIFS('Cash Book'!$D$5:$D$504,'Cash Book'!$G$5:$G$504,$A234))</f>
        <v/>
      </c>
      <c r="H234" s="16" t="str">
        <f aca="false">IF($A234="","",E234-G234)</f>
        <v/>
      </c>
      <c r="I234" s="21" t="str">
        <f aca="true">IF($A234="","",IF(H234&lt;=0,"Paid",IF(F234&lt;TODAY(),"OVERDUE",IF(G234&gt;0,"Part paid","Open"))))</f>
        <v/>
      </c>
      <c r="J234" s="22" t="str">
        <f aca="true">IF($A234="","",IF(AND(H234&gt;0,F234&lt;TODAY()),TODAY()-F234,0))</f>
        <v/>
      </c>
    </row>
    <row r="235" customFormat="false" ht="15" hidden="false" customHeight="false" outlineLevel="0" collapsed="false">
      <c r="A235" s="5"/>
      <c r="B235" s="19"/>
      <c r="C235" s="5"/>
      <c r="D235" s="5"/>
      <c r="E235" s="4"/>
      <c r="F235" s="19"/>
      <c r="G235" s="16" t="str">
        <f aca="false">IF($A235="","",SUMIFS('Cash Book'!$D$5:$D$504,'Cash Book'!$G$5:$G$504,$A235))</f>
        <v/>
      </c>
      <c r="H235" s="16" t="str">
        <f aca="false">IF($A235="","",E235-G235)</f>
        <v/>
      </c>
      <c r="I235" s="21" t="str">
        <f aca="true">IF($A235="","",IF(H235&lt;=0,"Paid",IF(F235&lt;TODAY(),"OVERDUE",IF(G235&gt;0,"Part paid","Open"))))</f>
        <v/>
      </c>
      <c r="J235" s="22" t="str">
        <f aca="true">IF($A235="","",IF(AND(H235&gt;0,F235&lt;TODAY()),TODAY()-F235,0))</f>
        <v/>
      </c>
    </row>
    <row r="236" customFormat="false" ht="15" hidden="false" customHeight="false" outlineLevel="0" collapsed="false">
      <c r="A236" s="5"/>
      <c r="B236" s="19"/>
      <c r="C236" s="5"/>
      <c r="D236" s="5"/>
      <c r="E236" s="4"/>
      <c r="F236" s="19"/>
      <c r="G236" s="16" t="str">
        <f aca="false">IF($A236="","",SUMIFS('Cash Book'!$D$5:$D$504,'Cash Book'!$G$5:$G$504,$A236))</f>
        <v/>
      </c>
      <c r="H236" s="16" t="str">
        <f aca="false">IF($A236="","",E236-G236)</f>
        <v/>
      </c>
      <c r="I236" s="21" t="str">
        <f aca="true">IF($A236="","",IF(H236&lt;=0,"Paid",IF(F236&lt;TODAY(),"OVERDUE",IF(G236&gt;0,"Part paid","Open"))))</f>
        <v/>
      </c>
      <c r="J236" s="22" t="str">
        <f aca="true">IF($A236="","",IF(AND(H236&gt;0,F236&lt;TODAY()),TODAY()-F236,0))</f>
        <v/>
      </c>
    </row>
    <row r="237" customFormat="false" ht="15" hidden="false" customHeight="false" outlineLevel="0" collapsed="false">
      <c r="A237" s="5"/>
      <c r="B237" s="19"/>
      <c r="C237" s="5"/>
      <c r="D237" s="5"/>
      <c r="E237" s="4"/>
      <c r="F237" s="19"/>
      <c r="G237" s="16" t="str">
        <f aca="false">IF($A237="","",SUMIFS('Cash Book'!$D$5:$D$504,'Cash Book'!$G$5:$G$504,$A237))</f>
        <v/>
      </c>
      <c r="H237" s="16" t="str">
        <f aca="false">IF($A237="","",E237-G237)</f>
        <v/>
      </c>
      <c r="I237" s="21" t="str">
        <f aca="true">IF($A237="","",IF(H237&lt;=0,"Paid",IF(F237&lt;TODAY(),"OVERDUE",IF(G237&gt;0,"Part paid","Open"))))</f>
        <v/>
      </c>
      <c r="J237" s="22" t="str">
        <f aca="true">IF($A237="","",IF(AND(H237&gt;0,F237&lt;TODAY()),TODAY()-F237,0))</f>
        <v/>
      </c>
    </row>
    <row r="238" customFormat="false" ht="15" hidden="false" customHeight="false" outlineLevel="0" collapsed="false">
      <c r="A238" s="5"/>
      <c r="B238" s="19"/>
      <c r="C238" s="5"/>
      <c r="D238" s="5"/>
      <c r="E238" s="4"/>
      <c r="F238" s="19"/>
      <c r="G238" s="16" t="str">
        <f aca="false">IF($A238="","",SUMIFS('Cash Book'!$D$5:$D$504,'Cash Book'!$G$5:$G$504,$A238))</f>
        <v/>
      </c>
      <c r="H238" s="16" t="str">
        <f aca="false">IF($A238="","",E238-G238)</f>
        <v/>
      </c>
      <c r="I238" s="21" t="str">
        <f aca="true">IF($A238="","",IF(H238&lt;=0,"Paid",IF(F238&lt;TODAY(),"OVERDUE",IF(G238&gt;0,"Part paid","Open"))))</f>
        <v/>
      </c>
      <c r="J238" s="22" t="str">
        <f aca="true">IF($A238="","",IF(AND(H238&gt;0,F238&lt;TODAY()),TODAY()-F238,0))</f>
        <v/>
      </c>
    </row>
    <row r="239" customFormat="false" ht="15" hidden="false" customHeight="false" outlineLevel="0" collapsed="false">
      <c r="A239" s="5"/>
      <c r="B239" s="19"/>
      <c r="C239" s="5"/>
      <c r="D239" s="5"/>
      <c r="E239" s="4"/>
      <c r="F239" s="19"/>
      <c r="G239" s="16" t="str">
        <f aca="false">IF($A239="","",SUMIFS('Cash Book'!$D$5:$D$504,'Cash Book'!$G$5:$G$504,$A239))</f>
        <v/>
      </c>
      <c r="H239" s="16" t="str">
        <f aca="false">IF($A239="","",E239-G239)</f>
        <v/>
      </c>
      <c r="I239" s="21" t="str">
        <f aca="true">IF($A239="","",IF(H239&lt;=0,"Paid",IF(F239&lt;TODAY(),"OVERDUE",IF(G239&gt;0,"Part paid","Open"))))</f>
        <v/>
      </c>
      <c r="J239" s="22" t="str">
        <f aca="true">IF($A239="","",IF(AND(H239&gt;0,F239&lt;TODAY()),TODAY()-F239,0))</f>
        <v/>
      </c>
    </row>
    <row r="240" customFormat="false" ht="15" hidden="false" customHeight="false" outlineLevel="0" collapsed="false">
      <c r="A240" s="5"/>
      <c r="B240" s="19"/>
      <c r="C240" s="5"/>
      <c r="D240" s="5"/>
      <c r="E240" s="4"/>
      <c r="F240" s="19"/>
      <c r="G240" s="16" t="str">
        <f aca="false">IF($A240="","",SUMIFS('Cash Book'!$D$5:$D$504,'Cash Book'!$G$5:$G$504,$A240))</f>
        <v/>
      </c>
      <c r="H240" s="16" t="str">
        <f aca="false">IF($A240="","",E240-G240)</f>
        <v/>
      </c>
      <c r="I240" s="21" t="str">
        <f aca="true">IF($A240="","",IF(H240&lt;=0,"Paid",IF(F240&lt;TODAY(),"OVERDUE",IF(G240&gt;0,"Part paid","Open"))))</f>
        <v/>
      </c>
      <c r="J240" s="22" t="str">
        <f aca="true">IF($A240="","",IF(AND(H240&gt;0,F240&lt;TODAY()),TODAY()-F240,0))</f>
        <v/>
      </c>
    </row>
    <row r="241" customFormat="false" ht="15" hidden="false" customHeight="false" outlineLevel="0" collapsed="false">
      <c r="A241" s="5"/>
      <c r="B241" s="19"/>
      <c r="C241" s="5"/>
      <c r="D241" s="5"/>
      <c r="E241" s="4"/>
      <c r="F241" s="19"/>
      <c r="G241" s="16" t="str">
        <f aca="false">IF($A241="","",SUMIFS('Cash Book'!$D$5:$D$504,'Cash Book'!$G$5:$G$504,$A241))</f>
        <v/>
      </c>
      <c r="H241" s="16" t="str">
        <f aca="false">IF($A241="","",E241-G241)</f>
        <v/>
      </c>
      <c r="I241" s="21" t="str">
        <f aca="true">IF($A241="","",IF(H241&lt;=0,"Paid",IF(F241&lt;TODAY(),"OVERDUE",IF(G241&gt;0,"Part paid","Open"))))</f>
        <v/>
      </c>
      <c r="J241" s="22" t="str">
        <f aca="true">IF($A241="","",IF(AND(H241&gt;0,F241&lt;TODAY()),TODAY()-F241,0))</f>
        <v/>
      </c>
    </row>
    <row r="242" customFormat="false" ht="15" hidden="false" customHeight="false" outlineLevel="0" collapsed="false">
      <c r="A242" s="5"/>
      <c r="B242" s="19"/>
      <c r="C242" s="5"/>
      <c r="D242" s="5"/>
      <c r="E242" s="4"/>
      <c r="F242" s="19"/>
      <c r="G242" s="16" t="str">
        <f aca="false">IF($A242="","",SUMIFS('Cash Book'!$D$5:$D$504,'Cash Book'!$G$5:$G$504,$A242))</f>
        <v/>
      </c>
      <c r="H242" s="16" t="str">
        <f aca="false">IF($A242="","",E242-G242)</f>
        <v/>
      </c>
      <c r="I242" s="21" t="str">
        <f aca="true">IF($A242="","",IF(H242&lt;=0,"Paid",IF(F242&lt;TODAY(),"OVERDUE",IF(G242&gt;0,"Part paid","Open"))))</f>
        <v/>
      </c>
      <c r="J242" s="22" t="str">
        <f aca="true">IF($A242="","",IF(AND(H242&gt;0,F242&lt;TODAY()),TODAY()-F242,0))</f>
        <v/>
      </c>
    </row>
    <row r="243" customFormat="false" ht="15" hidden="false" customHeight="false" outlineLevel="0" collapsed="false">
      <c r="A243" s="5"/>
      <c r="B243" s="19"/>
      <c r="C243" s="5"/>
      <c r="D243" s="5"/>
      <c r="E243" s="4"/>
      <c r="F243" s="19"/>
      <c r="G243" s="16" t="str">
        <f aca="false">IF($A243="","",SUMIFS('Cash Book'!$D$5:$D$504,'Cash Book'!$G$5:$G$504,$A243))</f>
        <v/>
      </c>
      <c r="H243" s="16" t="str">
        <f aca="false">IF($A243="","",E243-G243)</f>
        <v/>
      </c>
      <c r="I243" s="21" t="str">
        <f aca="true">IF($A243="","",IF(H243&lt;=0,"Paid",IF(F243&lt;TODAY(),"OVERDUE",IF(G243&gt;0,"Part paid","Open"))))</f>
        <v/>
      </c>
      <c r="J243" s="22" t="str">
        <f aca="true">IF($A243="","",IF(AND(H243&gt;0,F243&lt;TODAY()),TODAY()-F243,0))</f>
        <v/>
      </c>
    </row>
    <row r="244" customFormat="false" ht="15" hidden="false" customHeight="false" outlineLevel="0" collapsed="false">
      <c r="A244" s="5"/>
      <c r="B244" s="19"/>
      <c r="C244" s="5"/>
      <c r="D244" s="5"/>
      <c r="E244" s="4"/>
      <c r="F244" s="19"/>
      <c r="G244" s="16" t="str">
        <f aca="false">IF($A244="","",SUMIFS('Cash Book'!$D$5:$D$504,'Cash Book'!$G$5:$G$504,$A244))</f>
        <v/>
      </c>
      <c r="H244" s="16" t="str">
        <f aca="false">IF($A244="","",E244-G244)</f>
        <v/>
      </c>
      <c r="I244" s="21" t="str">
        <f aca="true">IF($A244="","",IF(H244&lt;=0,"Paid",IF(F244&lt;TODAY(),"OVERDUE",IF(G244&gt;0,"Part paid","Open"))))</f>
        <v/>
      </c>
      <c r="J244" s="22" t="str">
        <f aca="true">IF($A244="","",IF(AND(H244&gt;0,F244&lt;TODAY()),TODAY()-F244,0))</f>
        <v/>
      </c>
    </row>
    <row r="245" customFormat="false" ht="15" hidden="false" customHeight="false" outlineLevel="0" collapsed="false">
      <c r="A245" s="5"/>
      <c r="B245" s="19"/>
      <c r="C245" s="5"/>
      <c r="D245" s="5"/>
      <c r="E245" s="4"/>
      <c r="F245" s="19"/>
      <c r="G245" s="16" t="str">
        <f aca="false">IF($A245="","",SUMIFS('Cash Book'!$D$5:$D$504,'Cash Book'!$G$5:$G$504,$A245))</f>
        <v/>
      </c>
      <c r="H245" s="16" t="str">
        <f aca="false">IF($A245="","",E245-G245)</f>
        <v/>
      </c>
      <c r="I245" s="21" t="str">
        <f aca="true">IF($A245="","",IF(H245&lt;=0,"Paid",IF(F245&lt;TODAY(),"OVERDUE",IF(G245&gt;0,"Part paid","Open"))))</f>
        <v/>
      </c>
      <c r="J245" s="22" t="str">
        <f aca="true">IF($A245="","",IF(AND(H245&gt;0,F245&lt;TODAY()),TODAY()-F245,0))</f>
        <v/>
      </c>
    </row>
    <row r="246" customFormat="false" ht="15" hidden="false" customHeight="false" outlineLevel="0" collapsed="false">
      <c r="A246" s="5"/>
      <c r="B246" s="19"/>
      <c r="C246" s="5"/>
      <c r="D246" s="5"/>
      <c r="E246" s="4"/>
      <c r="F246" s="19"/>
      <c r="G246" s="16" t="str">
        <f aca="false">IF($A246="","",SUMIFS('Cash Book'!$D$5:$D$504,'Cash Book'!$G$5:$G$504,$A246))</f>
        <v/>
      </c>
      <c r="H246" s="16" t="str">
        <f aca="false">IF($A246="","",E246-G246)</f>
        <v/>
      </c>
      <c r="I246" s="21" t="str">
        <f aca="true">IF($A246="","",IF(H246&lt;=0,"Paid",IF(F246&lt;TODAY(),"OVERDUE",IF(G246&gt;0,"Part paid","Open"))))</f>
        <v/>
      </c>
      <c r="J246" s="22" t="str">
        <f aca="true">IF($A246="","",IF(AND(H246&gt;0,F246&lt;TODAY()),TODAY()-F246,0))</f>
        <v/>
      </c>
    </row>
    <row r="247" customFormat="false" ht="15" hidden="false" customHeight="false" outlineLevel="0" collapsed="false">
      <c r="A247" s="5"/>
      <c r="B247" s="19"/>
      <c r="C247" s="5"/>
      <c r="D247" s="5"/>
      <c r="E247" s="4"/>
      <c r="F247" s="19"/>
      <c r="G247" s="16" t="str">
        <f aca="false">IF($A247="","",SUMIFS('Cash Book'!$D$5:$D$504,'Cash Book'!$G$5:$G$504,$A247))</f>
        <v/>
      </c>
      <c r="H247" s="16" t="str">
        <f aca="false">IF($A247="","",E247-G247)</f>
        <v/>
      </c>
      <c r="I247" s="21" t="str">
        <f aca="true">IF($A247="","",IF(H247&lt;=0,"Paid",IF(F247&lt;TODAY(),"OVERDUE",IF(G247&gt;0,"Part paid","Open"))))</f>
        <v/>
      </c>
      <c r="J247" s="22" t="str">
        <f aca="true">IF($A247="","",IF(AND(H247&gt;0,F247&lt;TODAY()),TODAY()-F247,0))</f>
        <v/>
      </c>
    </row>
    <row r="248" customFormat="false" ht="15" hidden="false" customHeight="false" outlineLevel="0" collapsed="false">
      <c r="A248" s="5"/>
      <c r="B248" s="19"/>
      <c r="C248" s="5"/>
      <c r="D248" s="5"/>
      <c r="E248" s="4"/>
      <c r="F248" s="19"/>
      <c r="G248" s="16" t="str">
        <f aca="false">IF($A248="","",SUMIFS('Cash Book'!$D$5:$D$504,'Cash Book'!$G$5:$G$504,$A248))</f>
        <v/>
      </c>
      <c r="H248" s="16" t="str">
        <f aca="false">IF($A248="","",E248-G248)</f>
        <v/>
      </c>
      <c r="I248" s="21" t="str">
        <f aca="true">IF($A248="","",IF(H248&lt;=0,"Paid",IF(F248&lt;TODAY(),"OVERDUE",IF(G248&gt;0,"Part paid","Open"))))</f>
        <v/>
      </c>
      <c r="J248" s="22" t="str">
        <f aca="true">IF($A248="","",IF(AND(H248&gt;0,F248&lt;TODAY()),TODAY()-F248,0))</f>
        <v/>
      </c>
    </row>
    <row r="249" customFormat="false" ht="15" hidden="false" customHeight="false" outlineLevel="0" collapsed="false">
      <c r="A249" s="5"/>
      <c r="B249" s="19"/>
      <c r="C249" s="5"/>
      <c r="D249" s="5"/>
      <c r="E249" s="4"/>
      <c r="F249" s="19"/>
      <c r="G249" s="16" t="str">
        <f aca="false">IF($A249="","",SUMIFS('Cash Book'!$D$5:$D$504,'Cash Book'!$G$5:$G$504,$A249))</f>
        <v/>
      </c>
      <c r="H249" s="16" t="str">
        <f aca="false">IF($A249="","",E249-G249)</f>
        <v/>
      </c>
      <c r="I249" s="21" t="str">
        <f aca="true">IF($A249="","",IF(H249&lt;=0,"Paid",IF(F249&lt;TODAY(),"OVERDUE",IF(G249&gt;0,"Part paid","Open"))))</f>
        <v/>
      </c>
      <c r="J249" s="22" t="str">
        <f aca="true">IF($A249="","",IF(AND(H249&gt;0,F249&lt;TODAY()),TODAY()-F249,0))</f>
        <v/>
      </c>
    </row>
    <row r="250" customFormat="false" ht="15" hidden="false" customHeight="false" outlineLevel="0" collapsed="false">
      <c r="A250" s="5"/>
      <c r="B250" s="19"/>
      <c r="C250" s="5"/>
      <c r="D250" s="5"/>
      <c r="E250" s="4"/>
      <c r="F250" s="19"/>
      <c r="G250" s="16" t="str">
        <f aca="false">IF($A250="","",SUMIFS('Cash Book'!$D$5:$D$504,'Cash Book'!$G$5:$G$504,$A250))</f>
        <v/>
      </c>
      <c r="H250" s="16" t="str">
        <f aca="false">IF($A250="","",E250-G250)</f>
        <v/>
      </c>
      <c r="I250" s="21" t="str">
        <f aca="true">IF($A250="","",IF(H250&lt;=0,"Paid",IF(F250&lt;TODAY(),"OVERDUE",IF(G250&gt;0,"Part paid","Open"))))</f>
        <v/>
      </c>
      <c r="J250" s="22" t="str">
        <f aca="true">IF($A250="","",IF(AND(H250&gt;0,F250&lt;TODAY()),TODAY()-F250,0))</f>
        <v/>
      </c>
    </row>
    <row r="251" customFormat="false" ht="15" hidden="false" customHeight="false" outlineLevel="0" collapsed="false">
      <c r="A251" s="5"/>
      <c r="B251" s="19"/>
      <c r="C251" s="5"/>
      <c r="D251" s="5"/>
      <c r="E251" s="4"/>
      <c r="F251" s="19"/>
      <c r="G251" s="16" t="str">
        <f aca="false">IF($A251="","",SUMIFS('Cash Book'!$D$5:$D$504,'Cash Book'!$G$5:$G$504,$A251))</f>
        <v/>
      </c>
      <c r="H251" s="16" t="str">
        <f aca="false">IF($A251="","",E251-G251)</f>
        <v/>
      </c>
      <c r="I251" s="21" t="str">
        <f aca="true">IF($A251="","",IF(H251&lt;=0,"Paid",IF(F251&lt;TODAY(),"OVERDUE",IF(G251&gt;0,"Part paid","Open"))))</f>
        <v/>
      </c>
      <c r="J251" s="22" t="str">
        <f aca="true">IF($A251="","",IF(AND(H251&gt;0,F251&lt;TODAY()),TODAY()-F251,0))</f>
        <v/>
      </c>
    </row>
    <row r="252" customFormat="false" ht="15" hidden="false" customHeight="false" outlineLevel="0" collapsed="false">
      <c r="A252" s="5"/>
      <c r="B252" s="19"/>
      <c r="C252" s="5"/>
      <c r="D252" s="5"/>
      <c r="E252" s="4"/>
      <c r="F252" s="19"/>
      <c r="G252" s="16" t="str">
        <f aca="false">IF($A252="","",SUMIFS('Cash Book'!$D$5:$D$504,'Cash Book'!$G$5:$G$504,$A252))</f>
        <v/>
      </c>
      <c r="H252" s="16" t="str">
        <f aca="false">IF($A252="","",E252-G252)</f>
        <v/>
      </c>
      <c r="I252" s="21" t="str">
        <f aca="true">IF($A252="","",IF(H252&lt;=0,"Paid",IF(F252&lt;TODAY(),"OVERDUE",IF(G252&gt;0,"Part paid","Open"))))</f>
        <v/>
      </c>
      <c r="J252" s="22" t="str">
        <f aca="true">IF($A252="","",IF(AND(H252&gt;0,F252&lt;TODAY()),TODAY()-F252,0))</f>
        <v/>
      </c>
    </row>
    <row r="253" customFormat="false" ht="15" hidden="false" customHeight="false" outlineLevel="0" collapsed="false">
      <c r="A253" s="5"/>
      <c r="B253" s="19"/>
      <c r="C253" s="5"/>
      <c r="D253" s="5"/>
      <c r="E253" s="4"/>
      <c r="F253" s="19"/>
      <c r="G253" s="16" t="str">
        <f aca="false">IF($A253="","",SUMIFS('Cash Book'!$D$5:$D$504,'Cash Book'!$G$5:$G$504,$A253))</f>
        <v/>
      </c>
      <c r="H253" s="16" t="str">
        <f aca="false">IF($A253="","",E253-G253)</f>
        <v/>
      </c>
      <c r="I253" s="21" t="str">
        <f aca="true">IF($A253="","",IF(H253&lt;=0,"Paid",IF(F253&lt;TODAY(),"OVERDUE",IF(G253&gt;0,"Part paid","Open"))))</f>
        <v/>
      </c>
      <c r="J253" s="22" t="str">
        <f aca="true">IF($A253="","",IF(AND(H253&gt;0,F253&lt;TODAY()),TODAY()-F253,0))</f>
        <v/>
      </c>
    </row>
    <row r="254" customFormat="false" ht="15" hidden="false" customHeight="false" outlineLevel="0" collapsed="false">
      <c r="A254" s="5"/>
      <c r="B254" s="19"/>
      <c r="C254" s="5"/>
      <c r="D254" s="5"/>
      <c r="E254" s="4"/>
      <c r="F254" s="19"/>
      <c r="G254" s="16" t="str">
        <f aca="false">IF($A254="","",SUMIFS('Cash Book'!$D$5:$D$504,'Cash Book'!$G$5:$G$504,$A254))</f>
        <v/>
      </c>
      <c r="H254" s="16" t="str">
        <f aca="false">IF($A254="","",E254-G254)</f>
        <v/>
      </c>
      <c r="I254" s="21" t="str">
        <f aca="true">IF($A254="","",IF(H254&lt;=0,"Paid",IF(F254&lt;TODAY(),"OVERDUE",IF(G254&gt;0,"Part paid","Open"))))</f>
        <v/>
      </c>
      <c r="J254" s="22" t="str">
        <f aca="true">IF($A254="","",IF(AND(H254&gt;0,F254&lt;TODAY()),TODAY()-F254,0))</f>
        <v/>
      </c>
    </row>
    <row r="255" customFormat="false" ht="15" hidden="false" customHeight="false" outlineLevel="0" collapsed="false">
      <c r="A255" s="5"/>
      <c r="B255" s="19"/>
      <c r="C255" s="5"/>
      <c r="D255" s="5"/>
      <c r="E255" s="4"/>
      <c r="F255" s="19"/>
      <c r="G255" s="16" t="str">
        <f aca="false">IF($A255="","",SUMIFS('Cash Book'!$D$5:$D$504,'Cash Book'!$G$5:$G$504,$A255))</f>
        <v/>
      </c>
      <c r="H255" s="16" t="str">
        <f aca="false">IF($A255="","",E255-G255)</f>
        <v/>
      </c>
      <c r="I255" s="21" t="str">
        <f aca="true">IF($A255="","",IF(H255&lt;=0,"Paid",IF(F255&lt;TODAY(),"OVERDUE",IF(G255&gt;0,"Part paid","Open"))))</f>
        <v/>
      </c>
      <c r="J255" s="22" t="str">
        <f aca="true">IF($A255="","",IF(AND(H255&gt;0,F255&lt;TODAY()),TODAY()-F255,0))</f>
        <v/>
      </c>
    </row>
    <row r="256" customFormat="false" ht="15" hidden="false" customHeight="false" outlineLevel="0" collapsed="false">
      <c r="A256" s="5"/>
      <c r="B256" s="19"/>
      <c r="C256" s="5"/>
      <c r="D256" s="5"/>
      <c r="E256" s="4"/>
      <c r="F256" s="19"/>
      <c r="G256" s="16" t="str">
        <f aca="false">IF($A256="","",SUMIFS('Cash Book'!$D$5:$D$504,'Cash Book'!$G$5:$G$504,$A256))</f>
        <v/>
      </c>
      <c r="H256" s="16" t="str">
        <f aca="false">IF($A256="","",E256-G256)</f>
        <v/>
      </c>
      <c r="I256" s="21" t="str">
        <f aca="true">IF($A256="","",IF(H256&lt;=0,"Paid",IF(F256&lt;TODAY(),"OVERDUE",IF(G256&gt;0,"Part paid","Open"))))</f>
        <v/>
      </c>
      <c r="J256" s="22" t="str">
        <f aca="true">IF($A256="","",IF(AND(H256&gt;0,F256&lt;TODAY()),TODAY()-F256,0))</f>
        <v/>
      </c>
    </row>
    <row r="257" customFormat="false" ht="15" hidden="false" customHeight="false" outlineLevel="0" collapsed="false">
      <c r="A257" s="5"/>
      <c r="B257" s="19"/>
      <c r="C257" s="5"/>
      <c r="D257" s="5"/>
      <c r="E257" s="4"/>
      <c r="F257" s="19"/>
      <c r="G257" s="16" t="str">
        <f aca="false">IF($A257="","",SUMIFS('Cash Book'!$D$5:$D$504,'Cash Book'!$G$5:$G$504,$A257))</f>
        <v/>
      </c>
      <c r="H257" s="16" t="str">
        <f aca="false">IF($A257="","",E257-G257)</f>
        <v/>
      </c>
      <c r="I257" s="21" t="str">
        <f aca="true">IF($A257="","",IF(H257&lt;=0,"Paid",IF(F257&lt;TODAY(),"OVERDUE",IF(G257&gt;0,"Part paid","Open"))))</f>
        <v/>
      </c>
      <c r="J257" s="22" t="str">
        <f aca="true">IF($A257="","",IF(AND(H257&gt;0,F257&lt;TODAY()),TODAY()-F257,0))</f>
        <v/>
      </c>
    </row>
    <row r="258" customFormat="false" ht="15" hidden="false" customHeight="false" outlineLevel="0" collapsed="false">
      <c r="A258" s="5"/>
      <c r="B258" s="19"/>
      <c r="C258" s="5"/>
      <c r="D258" s="5"/>
      <c r="E258" s="4"/>
      <c r="F258" s="19"/>
      <c r="G258" s="16" t="str">
        <f aca="false">IF($A258="","",SUMIFS('Cash Book'!$D$5:$D$504,'Cash Book'!$G$5:$G$504,$A258))</f>
        <v/>
      </c>
      <c r="H258" s="16" t="str">
        <f aca="false">IF($A258="","",E258-G258)</f>
        <v/>
      </c>
      <c r="I258" s="21" t="str">
        <f aca="true">IF($A258="","",IF(H258&lt;=0,"Paid",IF(F258&lt;TODAY(),"OVERDUE",IF(G258&gt;0,"Part paid","Open"))))</f>
        <v/>
      </c>
      <c r="J258" s="22" t="str">
        <f aca="true">IF($A258="","",IF(AND(H258&gt;0,F258&lt;TODAY()),TODAY()-F258,0))</f>
        <v/>
      </c>
    </row>
    <row r="259" customFormat="false" ht="15" hidden="false" customHeight="false" outlineLevel="0" collapsed="false">
      <c r="A259" s="5"/>
      <c r="B259" s="19"/>
      <c r="C259" s="5"/>
      <c r="D259" s="5"/>
      <c r="E259" s="4"/>
      <c r="F259" s="19"/>
      <c r="G259" s="16" t="str">
        <f aca="false">IF($A259="","",SUMIFS('Cash Book'!$D$5:$D$504,'Cash Book'!$G$5:$G$504,$A259))</f>
        <v/>
      </c>
      <c r="H259" s="16" t="str">
        <f aca="false">IF($A259="","",E259-G259)</f>
        <v/>
      </c>
      <c r="I259" s="21" t="str">
        <f aca="true">IF($A259="","",IF(H259&lt;=0,"Paid",IF(F259&lt;TODAY(),"OVERDUE",IF(G259&gt;0,"Part paid","Open"))))</f>
        <v/>
      </c>
      <c r="J259" s="22" t="str">
        <f aca="true">IF($A259="","",IF(AND(H259&gt;0,F259&lt;TODAY()),TODAY()-F259,0))</f>
        <v/>
      </c>
    </row>
    <row r="260" customFormat="false" ht="15" hidden="false" customHeight="false" outlineLevel="0" collapsed="false">
      <c r="A260" s="5"/>
      <c r="B260" s="19"/>
      <c r="C260" s="5"/>
      <c r="D260" s="5"/>
      <c r="E260" s="4"/>
      <c r="F260" s="19"/>
      <c r="G260" s="16" t="str">
        <f aca="false">IF($A260="","",SUMIFS('Cash Book'!$D$5:$D$504,'Cash Book'!$G$5:$G$504,$A260))</f>
        <v/>
      </c>
      <c r="H260" s="16" t="str">
        <f aca="false">IF($A260="","",E260-G260)</f>
        <v/>
      </c>
      <c r="I260" s="21" t="str">
        <f aca="true">IF($A260="","",IF(H260&lt;=0,"Paid",IF(F260&lt;TODAY(),"OVERDUE",IF(G260&gt;0,"Part paid","Open"))))</f>
        <v/>
      </c>
      <c r="J260" s="22" t="str">
        <f aca="true">IF($A260="","",IF(AND(H260&gt;0,F260&lt;TODAY()),TODAY()-F260,0))</f>
        <v/>
      </c>
    </row>
    <row r="261" customFormat="false" ht="15" hidden="false" customHeight="false" outlineLevel="0" collapsed="false">
      <c r="A261" s="5"/>
      <c r="B261" s="19"/>
      <c r="C261" s="5"/>
      <c r="D261" s="5"/>
      <c r="E261" s="4"/>
      <c r="F261" s="19"/>
      <c r="G261" s="16" t="str">
        <f aca="false">IF($A261="","",SUMIFS('Cash Book'!$D$5:$D$504,'Cash Book'!$G$5:$G$504,$A261))</f>
        <v/>
      </c>
      <c r="H261" s="16" t="str">
        <f aca="false">IF($A261="","",E261-G261)</f>
        <v/>
      </c>
      <c r="I261" s="21" t="str">
        <f aca="true">IF($A261="","",IF(H261&lt;=0,"Paid",IF(F261&lt;TODAY(),"OVERDUE",IF(G261&gt;0,"Part paid","Open"))))</f>
        <v/>
      </c>
      <c r="J261" s="22" t="str">
        <f aca="true">IF($A261="","",IF(AND(H261&gt;0,F261&lt;TODAY()),TODAY()-F261,0))</f>
        <v/>
      </c>
    </row>
    <row r="262" customFormat="false" ht="15" hidden="false" customHeight="false" outlineLevel="0" collapsed="false">
      <c r="A262" s="5"/>
      <c r="B262" s="19"/>
      <c r="C262" s="5"/>
      <c r="D262" s="5"/>
      <c r="E262" s="4"/>
      <c r="F262" s="19"/>
      <c r="G262" s="16" t="str">
        <f aca="false">IF($A262="","",SUMIFS('Cash Book'!$D$5:$D$504,'Cash Book'!$G$5:$G$504,$A262))</f>
        <v/>
      </c>
      <c r="H262" s="16" t="str">
        <f aca="false">IF($A262="","",E262-G262)</f>
        <v/>
      </c>
      <c r="I262" s="21" t="str">
        <f aca="true">IF($A262="","",IF(H262&lt;=0,"Paid",IF(F262&lt;TODAY(),"OVERDUE",IF(G262&gt;0,"Part paid","Open"))))</f>
        <v/>
      </c>
      <c r="J262" s="22" t="str">
        <f aca="true">IF($A262="","",IF(AND(H262&gt;0,F262&lt;TODAY()),TODAY()-F262,0))</f>
        <v/>
      </c>
    </row>
    <row r="263" customFormat="false" ht="15" hidden="false" customHeight="false" outlineLevel="0" collapsed="false">
      <c r="A263" s="5"/>
      <c r="B263" s="19"/>
      <c r="C263" s="5"/>
      <c r="D263" s="5"/>
      <c r="E263" s="4"/>
      <c r="F263" s="19"/>
      <c r="G263" s="16" t="str">
        <f aca="false">IF($A263="","",SUMIFS('Cash Book'!$D$5:$D$504,'Cash Book'!$G$5:$G$504,$A263))</f>
        <v/>
      </c>
      <c r="H263" s="16" t="str">
        <f aca="false">IF($A263="","",E263-G263)</f>
        <v/>
      </c>
      <c r="I263" s="21" t="str">
        <f aca="true">IF($A263="","",IF(H263&lt;=0,"Paid",IF(F263&lt;TODAY(),"OVERDUE",IF(G263&gt;0,"Part paid","Open"))))</f>
        <v/>
      </c>
      <c r="J263" s="22" t="str">
        <f aca="true">IF($A263="","",IF(AND(H263&gt;0,F263&lt;TODAY()),TODAY()-F263,0))</f>
        <v/>
      </c>
    </row>
    <row r="264" customFormat="false" ht="15" hidden="false" customHeight="false" outlineLevel="0" collapsed="false">
      <c r="A264" s="5"/>
      <c r="B264" s="19"/>
      <c r="C264" s="5"/>
      <c r="D264" s="5"/>
      <c r="E264" s="4"/>
      <c r="F264" s="19"/>
      <c r="G264" s="16" t="str">
        <f aca="false">IF($A264="","",SUMIFS('Cash Book'!$D$5:$D$504,'Cash Book'!$G$5:$G$504,$A264))</f>
        <v/>
      </c>
      <c r="H264" s="16" t="str">
        <f aca="false">IF($A264="","",E264-G264)</f>
        <v/>
      </c>
      <c r="I264" s="21" t="str">
        <f aca="true">IF($A264="","",IF(H264&lt;=0,"Paid",IF(F264&lt;TODAY(),"OVERDUE",IF(G264&gt;0,"Part paid","Open"))))</f>
        <v/>
      </c>
      <c r="J264" s="22" t="str">
        <f aca="true">IF($A264="","",IF(AND(H264&gt;0,F264&lt;TODAY()),TODAY()-F264,0))</f>
        <v/>
      </c>
    </row>
    <row r="265" customFormat="false" ht="15" hidden="false" customHeight="false" outlineLevel="0" collapsed="false">
      <c r="A265" s="5"/>
      <c r="B265" s="19"/>
      <c r="C265" s="5"/>
      <c r="D265" s="5"/>
      <c r="E265" s="4"/>
      <c r="F265" s="19"/>
      <c r="G265" s="16" t="str">
        <f aca="false">IF($A265="","",SUMIFS('Cash Book'!$D$5:$D$504,'Cash Book'!$G$5:$G$504,$A265))</f>
        <v/>
      </c>
      <c r="H265" s="16" t="str">
        <f aca="false">IF($A265="","",E265-G265)</f>
        <v/>
      </c>
      <c r="I265" s="21" t="str">
        <f aca="true">IF($A265="","",IF(H265&lt;=0,"Paid",IF(F265&lt;TODAY(),"OVERDUE",IF(G265&gt;0,"Part paid","Open"))))</f>
        <v/>
      </c>
      <c r="J265" s="22" t="str">
        <f aca="true">IF($A265="","",IF(AND(H265&gt;0,F265&lt;TODAY()),TODAY()-F265,0))</f>
        <v/>
      </c>
    </row>
    <row r="266" customFormat="false" ht="15" hidden="false" customHeight="false" outlineLevel="0" collapsed="false">
      <c r="A266" s="5"/>
      <c r="B266" s="19"/>
      <c r="C266" s="5"/>
      <c r="D266" s="5"/>
      <c r="E266" s="4"/>
      <c r="F266" s="19"/>
      <c r="G266" s="16" t="str">
        <f aca="false">IF($A266="","",SUMIFS('Cash Book'!$D$5:$D$504,'Cash Book'!$G$5:$G$504,$A266))</f>
        <v/>
      </c>
      <c r="H266" s="16" t="str">
        <f aca="false">IF($A266="","",E266-G266)</f>
        <v/>
      </c>
      <c r="I266" s="21" t="str">
        <f aca="true">IF($A266="","",IF(H266&lt;=0,"Paid",IF(F266&lt;TODAY(),"OVERDUE",IF(G266&gt;0,"Part paid","Open"))))</f>
        <v/>
      </c>
      <c r="J266" s="22" t="str">
        <f aca="true">IF($A266="","",IF(AND(H266&gt;0,F266&lt;TODAY()),TODAY()-F266,0))</f>
        <v/>
      </c>
    </row>
    <row r="267" customFormat="false" ht="15" hidden="false" customHeight="false" outlineLevel="0" collapsed="false">
      <c r="A267" s="5"/>
      <c r="B267" s="19"/>
      <c r="C267" s="5"/>
      <c r="D267" s="5"/>
      <c r="E267" s="4"/>
      <c r="F267" s="19"/>
      <c r="G267" s="16" t="str">
        <f aca="false">IF($A267="","",SUMIFS('Cash Book'!$D$5:$D$504,'Cash Book'!$G$5:$G$504,$A267))</f>
        <v/>
      </c>
      <c r="H267" s="16" t="str">
        <f aca="false">IF($A267="","",E267-G267)</f>
        <v/>
      </c>
      <c r="I267" s="21" t="str">
        <f aca="true">IF($A267="","",IF(H267&lt;=0,"Paid",IF(F267&lt;TODAY(),"OVERDUE",IF(G267&gt;0,"Part paid","Open"))))</f>
        <v/>
      </c>
      <c r="J267" s="22" t="str">
        <f aca="true">IF($A267="","",IF(AND(H267&gt;0,F267&lt;TODAY()),TODAY()-F267,0))</f>
        <v/>
      </c>
    </row>
    <row r="268" customFormat="false" ht="15" hidden="false" customHeight="false" outlineLevel="0" collapsed="false">
      <c r="A268" s="5"/>
      <c r="B268" s="19"/>
      <c r="C268" s="5"/>
      <c r="D268" s="5"/>
      <c r="E268" s="4"/>
      <c r="F268" s="19"/>
      <c r="G268" s="16" t="str">
        <f aca="false">IF($A268="","",SUMIFS('Cash Book'!$D$5:$D$504,'Cash Book'!$G$5:$G$504,$A268))</f>
        <v/>
      </c>
      <c r="H268" s="16" t="str">
        <f aca="false">IF($A268="","",E268-G268)</f>
        <v/>
      </c>
      <c r="I268" s="21" t="str">
        <f aca="true">IF($A268="","",IF(H268&lt;=0,"Paid",IF(F268&lt;TODAY(),"OVERDUE",IF(G268&gt;0,"Part paid","Open"))))</f>
        <v/>
      </c>
      <c r="J268" s="22" t="str">
        <f aca="true">IF($A268="","",IF(AND(H268&gt;0,F268&lt;TODAY()),TODAY()-F268,0))</f>
        <v/>
      </c>
    </row>
    <row r="269" customFormat="false" ht="15" hidden="false" customHeight="false" outlineLevel="0" collapsed="false">
      <c r="A269" s="5"/>
      <c r="B269" s="19"/>
      <c r="C269" s="5"/>
      <c r="D269" s="5"/>
      <c r="E269" s="4"/>
      <c r="F269" s="19"/>
      <c r="G269" s="16" t="str">
        <f aca="false">IF($A269="","",SUMIFS('Cash Book'!$D$5:$D$504,'Cash Book'!$G$5:$G$504,$A269))</f>
        <v/>
      </c>
      <c r="H269" s="16" t="str">
        <f aca="false">IF($A269="","",E269-G269)</f>
        <v/>
      </c>
      <c r="I269" s="21" t="str">
        <f aca="true">IF($A269="","",IF(H269&lt;=0,"Paid",IF(F269&lt;TODAY(),"OVERDUE",IF(G269&gt;0,"Part paid","Open"))))</f>
        <v/>
      </c>
      <c r="J269" s="22" t="str">
        <f aca="true">IF($A269="","",IF(AND(H269&gt;0,F269&lt;TODAY()),TODAY()-F269,0))</f>
        <v/>
      </c>
    </row>
    <row r="270" customFormat="false" ht="15" hidden="false" customHeight="false" outlineLevel="0" collapsed="false">
      <c r="A270" s="5"/>
      <c r="B270" s="19"/>
      <c r="C270" s="5"/>
      <c r="D270" s="5"/>
      <c r="E270" s="4"/>
      <c r="F270" s="19"/>
      <c r="G270" s="16" t="str">
        <f aca="false">IF($A270="","",SUMIFS('Cash Book'!$D$5:$D$504,'Cash Book'!$G$5:$G$504,$A270))</f>
        <v/>
      </c>
      <c r="H270" s="16" t="str">
        <f aca="false">IF($A270="","",E270-G270)</f>
        <v/>
      </c>
      <c r="I270" s="21" t="str">
        <f aca="true">IF($A270="","",IF(H270&lt;=0,"Paid",IF(F270&lt;TODAY(),"OVERDUE",IF(G270&gt;0,"Part paid","Open"))))</f>
        <v/>
      </c>
      <c r="J270" s="22" t="str">
        <f aca="true">IF($A270="","",IF(AND(H270&gt;0,F270&lt;TODAY()),TODAY()-F270,0))</f>
        <v/>
      </c>
    </row>
    <row r="271" customFormat="false" ht="15" hidden="false" customHeight="false" outlineLevel="0" collapsed="false">
      <c r="A271" s="5"/>
      <c r="B271" s="19"/>
      <c r="C271" s="5"/>
      <c r="D271" s="5"/>
      <c r="E271" s="4"/>
      <c r="F271" s="19"/>
      <c r="G271" s="16" t="str">
        <f aca="false">IF($A271="","",SUMIFS('Cash Book'!$D$5:$D$504,'Cash Book'!$G$5:$G$504,$A271))</f>
        <v/>
      </c>
      <c r="H271" s="16" t="str">
        <f aca="false">IF($A271="","",E271-G271)</f>
        <v/>
      </c>
      <c r="I271" s="21" t="str">
        <f aca="true">IF($A271="","",IF(H271&lt;=0,"Paid",IF(F271&lt;TODAY(),"OVERDUE",IF(G271&gt;0,"Part paid","Open"))))</f>
        <v/>
      </c>
      <c r="J271" s="22" t="str">
        <f aca="true">IF($A271="","",IF(AND(H271&gt;0,F271&lt;TODAY()),TODAY()-F271,0))</f>
        <v/>
      </c>
    </row>
    <row r="272" customFormat="false" ht="15" hidden="false" customHeight="false" outlineLevel="0" collapsed="false">
      <c r="A272" s="5"/>
      <c r="B272" s="19"/>
      <c r="C272" s="5"/>
      <c r="D272" s="5"/>
      <c r="E272" s="4"/>
      <c r="F272" s="19"/>
      <c r="G272" s="16" t="str">
        <f aca="false">IF($A272="","",SUMIFS('Cash Book'!$D$5:$D$504,'Cash Book'!$G$5:$G$504,$A272))</f>
        <v/>
      </c>
      <c r="H272" s="16" t="str">
        <f aca="false">IF($A272="","",E272-G272)</f>
        <v/>
      </c>
      <c r="I272" s="21" t="str">
        <f aca="true">IF($A272="","",IF(H272&lt;=0,"Paid",IF(F272&lt;TODAY(),"OVERDUE",IF(G272&gt;0,"Part paid","Open"))))</f>
        <v/>
      </c>
      <c r="J272" s="22" t="str">
        <f aca="true">IF($A272="","",IF(AND(H272&gt;0,F272&lt;TODAY()),TODAY()-F272,0))</f>
        <v/>
      </c>
    </row>
    <row r="273" customFormat="false" ht="15" hidden="false" customHeight="false" outlineLevel="0" collapsed="false">
      <c r="A273" s="5"/>
      <c r="B273" s="19"/>
      <c r="C273" s="5"/>
      <c r="D273" s="5"/>
      <c r="E273" s="4"/>
      <c r="F273" s="19"/>
      <c r="G273" s="16" t="str">
        <f aca="false">IF($A273="","",SUMIFS('Cash Book'!$D$5:$D$504,'Cash Book'!$G$5:$G$504,$A273))</f>
        <v/>
      </c>
      <c r="H273" s="16" t="str">
        <f aca="false">IF($A273="","",E273-G273)</f>
        <v/>
      </c>
      <c r="I273" s="21" t="str">
        <f aca="true">IF($A273="","",IF(H273&lt;=0,"Paid",IF(F273&lt;TODAY(),"OVERDUE",IF(G273&gt;0,"Part paid","Open"))))</f>
        <v/>
      </c>
      <c r="J273" s="22" t="str">
        <f aca="true">IF($A273="","",IF(AND(H273&gt;0,F273&lt;TODAY()),TODAY()-F273,0))</f>
        <v/>
      </c>
    </row>
    <row r="274" customFormat="false" ht="15" hidden="false" customHeight="false" outlineLevel="0" collapsed="false">
      <c r="A274" s="5"/>
      <c r="B274" s="19"/>
      <c r="C274" s="5"/>
      <c r="D274" s="5"/>
      <c r="E274" s="4"/>
      <c r="F274" s="19"/>
      <c r="G274" s="16" t="str">
        <f aca="false">IF($A274="","",SUMIFS('Cash Book'!$D$5:$D$504,'Cash Book'!$G$5:$G$504,$A274))</f>
        <v/>
      </c>
      <c r="H274" s="16" t="str">
        <f aca="false">IF($A274="","",E274-G274)</f>
        <v/>
      </c>
      <c r="I274" s="21" t="str">
        <f aca="true">IF($A274="","",IF(H274&lt;=0,"Paid",IF(F274&lt;TODAY(),"OVERDUE",IF(G274&gt;0,"Part paid","Open"))))</f>
        <v/>
      </c>
      <c r="J274" s="22" t="str">
        <f aca="true">IF($A274="","",IF(AND(H274&gt;0,F274&lt;TODAY()),TODAY()-F274,0))</f>
        <v/>
      </c>
    </row>
    <row r="275" customFormat="false" ht="15" hidden="false" customHeight="false" outlineLevel="0" collapsed="false">
      <c r="A275" s="5"/>
      <c r="B275" s="19"/>
      <c r="C275" s="5"/>
      <c r="D275" s="5"/>
      <c r="E275" s="4"/>
      <c r="F275" s="19"/>
      <c r="G275" s="16" t="str">
        <f aca="false">IF($A275="","",SUMIFS('Cash Book'!$D$5:$D$504,'Cash Book'!$G$5:$G$504,$A275))</f>
        <v/>
      </c>
      <c r="H275" s="16" t="str">
        <f aca="false">IF($A275="","",E275-G275)</f>
        <v/>
      </c>
      <c r="I275" s="21" t="str">
        <f aca="true">IF($A275="","",IF(H275&lt;=0,"Paid",IF(F275&lt;TODAY(),"OVERDUE",IF(G275&gt;0,"Part paid","Open"))))</f>
        <v/>
      </c>
      <c r="J275" s="22" t="str">
        <f aca="true">IF($A275="","",IF(AND(H275&gt;0,F275&lt;TODAY()),TODAY()-F275,0))</f>
        <v/>
      </c>
    </row>
    <row r="276" customFormat="false" ht="15" hidden="false" customHeight="false" outlineLevel="0" collapsed="false">
      <c r="A276" s="5"/>
      <c r="B276" s="19"/>
      <c r="C276" s="5"/>
      <c r="D276" s="5"/>
      <c r="E276" s="4"/>
      <c r="F276" s="19"/>
      <c r="G276" s="16" t="str">
        <f aca="false">IF($A276="","",SUMIFS('Cash Book'!$D$5:$D$504,'Cash Book'!$G$5:$G$504,$A276))</f>
        <v/>
      </c>
      <c r="H276" s="16" t="str">
        <f aca="false">IF($A276="","",E276-G276)</f>
        <v/>
      </c>
      <c r="I276" s="21" t="str">
        <f aca="true">IF($A276="","",IF(H276&lt;=0,"Paid",IF(F276&lt;TODAY(),"OVERDUE",IF(G276&gt;0,"Part paid","Open"))))</f>
        <v/>
      </c>
      <c r="J276" s="22" t="str">
        <f aca="true">IF($A276="","",IF(AND(H276&gt;0,F276&lt;TODAY()),TODAY()-F276,0))</f>
        <v/>
      </c>
    </row>
    <row r="277" customFormat="false" ht="15" hidden="false" customHeight="false" outlineLevel="0" collapsed="false">
      <c r="A277" s="5"/>
      <c r="B277" s="19"/>
      <c r="C277" s="5"/>
      <c r="D277" s="5"/>
      <c r="E277" s="4"/>
      <c r="F277" s="19"/>
      <c r="G277" s="16" t="str">
        <f aca="false">IF($A277="","",SUMIFS('Cash Book'!$D$5:$D$504,'Cash Book'!$G$5:$G$504,$A277))</f>
        <v/>
      </c>
      <c r="H277" s="16" t="str">
        <f aca="false">IF($A277="","",E277-G277)</f>
        <v/>
      </c>
      <c r="I277" s="21" t="str">
        <f aca="true">IF($A277="","",IF(H277&lt;=0,"Paid",IF(F277&lt;TODAY(),"OVERDUE",IF(G277&gt;0,"Part paid","Open"))))</f>
        <v/>
      </c>
      <c r="J277" s="22" t="str">
        <f aca="true">IF($A277="","",IF(AND(H277&gt;0,F277&lt;TODAY()),TODAY()-F277,0))</f>
        <v/>
      </c>
    </row>
    <row r="278" customFormat="false" ht="15" hidden="false" customHeight="false" outlineLevel="0" collapsed="false">
      <c r="A278" s="5"/>
      <c r="B278" s="19"/>
      <c r="C278" s="5"/>
      <c r="D278" s="5"/>
      <c r="E278" s="4"/>
      <c r="F278" s="19"/>
      <c r="G278" s="16" t="str">
        <f aca="false">IF($A278="","",SUMIFS('Cash Book'!$D$5:$D$504,'Cash Book'!$G$5:$G$504,$A278))</f>
        <v/>
      </c>
      <c r="H278" s="16" t="str">
        <f aca="false">IF($A278="","",E278-G278)</f>
        <v/>
      </c>
      <c r="I278" s="21" t="str">
        <f aca="true">IF($A278="","",IF(H278&lt;=0,"Paid",IF(F278&lt;TODAY(),"OVERDUE",IF(G278&gt;0,"Part paid","Open"))))</f>
        <v/>
      </c>
      <c r="J278" s="22" t="str">
        <f aca="true">IF($A278="","",IF(AND(H278&gt;0,F278&lt;TODAY()),TODAY()-F278,0))</f>
        <v/>
      </c>
    </row>
    <row r="279" customFormat="false" ht="15" hidden="false" customHeight="false" outlineLevel="0" collapsed="false">
      <c r="A279" s="5"/>
      <c r="B279" s="19"/>
      <c r="C279" s="5"/>
      <c r="D279" s="5"/>
      <c r="E279" s="4"/>
      <c r="F279" s="19"/>
      <c r="G279" s="16" t="str">
        <f aca="false">IF($A279="","",SUMIFS('Cash Book'!$D$5:$D$504,'Cash Book'!$G$5:$G$504,$A279))</f>
        <v/>
      </c>
      <c r="H279" s="16" t="str">
        <f aca="false">IF($A279="","",E279-G279)</f>
        <v/>
      </c>
      <c r="I279" s="21" t="str">
        <f aca="true">IF($A279="","",IF(H279&lt;=0,"Paid",IF(F279&lt;TODAY(),"OVERDUE",IF(G279&gt;0,"Part paid","Open"))))</f>
        <v/>
      </c>
      <c r="J279" s="22" t="str">
        <f aca="true">IF($A279="","",IF(AND(H279&gt;0,F279&lt;TODAY()),TODAY()-F279,0))</f>
        <v/>
      </c>
    </row>
    <row r="280" customFormat="false" ht="15" hidden="false" customHeight="false" outlineLevel="0" collapsed="false">
      <c r="A280" s="5"/>
      <c r="B280" s="19"/>
      <c r="C280" s="5"/>
      <c r="D280" s="5"/>
      <c r="E280" s="4"/>
      <c r="F280" s="19"/>
      <c r="G280" s="16" t="str">
        <f aca="false">IF($A280="","",SUMIFS('Cash Book'!$D$5:$D$504,'Cash Book'!$G$5:$G$504,$A280))</f>
        <v/>
      </c>
      <c r="H280" s="16" t="str">
        <f aca="false">IF($A280="","",E280-G280)</f>
        <v/>
      </c>
      <c r="I280" s="21" t="str">
        <f aca="true">IF($A280="","",IF(H280&lt;=0,"Paid",IF(F280&lt;TODAY(),"OVERDUE",IF(G280&gt;0,"Part paid","Open"))))</f>
        <v/>
      </c>
      <c r="J280" s="22" t="str">
        <f aca="true">IF($A280="","",IF(AND(H280&gt;0,F280&lt;TODAY()),TODAY()-F280,0))</f>
        <v/>
      </c>
    </row>
    <row r="281" customFormat="false" ht="15" hidden="false" customHeight="false" outlineLevel="0" collapsed="false">
      <c r="A281" s="5"/>
      <c r="B281" s="19"/>
      <c r="C281" s="5"/>
      <c r="D281" s="5"/>
      <c r="E281" s="4"/>
      <c r="F281" s="19"/>
      <c r="G281" s="16" t="str">
        <f aca="false">IF($A281="","",SUMIFS('Cash Book'!$D$5:$D$504,'Cash Book'!$G$5:$G$504,$A281))</f>
        <v/>
      </c>
      <c r="H281" s="16" t="str">
        <f aca="false">IF($A281="","",E281-G281)</f>
        <v/>
      </c>
      <c r="I281" s="21" t="str">
        <f aca="true">IF($A281="","",IF(H281&lt;=0,"Paid",IF(F281&lt;TODAY(),"OVERDUE",IF(G281&gt;0,"Part paid","Open"))))</f>
        <v/>
      </c>
      <c r="J281" s="22" t="str">
        <f aca="true">IF($A281="","",IF(AND(H281&gt;0,F281&lt;TODAY()),TODAY()-F281,0))</f>
        <v/>
      </c>
    </row>
    <row r="282" customFormat="false" ht="15" hidden="false" customHeight="false" outlineLevel="0" collapsed="false">
      <c r="A282" s="5"/>
      <c r="B282" s="19"/>
      <c r="C282" s="5"/>
      <c r="D282" s="5"/>
      <c r="E282" s="4"/>
      <c r="F282" s="19"/>
      <c r="G282" s="16" t="str">
        <f aca="false">IF($A282="","",SUMIFS('Cash Book'!$D$5:$D$504,'Cash Book'!$G$5:$G$504,$A282))</f>
        <v/>
      </c>
      <c r="H282" s="16" t="str">
        <f aca="false">IF($A282="","",E282-G282)</f>
        <v/>
      </c>
      <c r="I282" s="21" t="str">
        <f aca="true">IF($A282="","",IF(H282&lt;=0,"Paid",IF(F282&lt;TODAY(),"OVERDUE",IF(G282&gt;0,"Part paid","Open"))))</f>
        <v/>
      </c>
      <c r="J282" s="22" t="str">
        <f aca="true">IF($A282="","",IF(AND(H282&gt;0,F282&lt;TODAY()),TODAY()-F282,0))</f>
        <v/>
      </c>
    </row>
    <row r="283" customFormat="false" ht="15" hidden="false" customHeight="false" outlineLevel="0" collapsed="false">
      <c r="A283" s="5"/>
      <c r="B283" s="19"/>
      <c r="C283" s="5"/>
      <c r="D283" s="5"/>
      <c r="E283" s="4"/>
      <c r="F283" s="19"/>
      <c r="G283" s="16" t="str">
        <f aca="false">IF($A283="","",SUMIFS('Cash Book'!$D$5:$D$504,'Cash Book'!$G$5:$G$504,$A283))</f>
        <v/>
      </c>
      <c r="H283" s="16" t="str">
        <f aca="false">IF($A283="","",E283-G283)</f>
        <v/>
      </c>
      <c r="I283" s="21" t="str">
        <f aca="true">IF($A283="","",IF(H283&lt;=0,"Paid",IF(F283&lt;TODAY(),"OVERDUE",IF(G283&gt;0,"Part paid","Open"))))</f>
        <v/>
      </c>
      <c r="J283" s="22" t="str">
        <f aca="true">IF($A283="","",IF(AND(H283&gt;0,F283&lt;TODAY()),TODAY()-F283,0))</f>
        <v/>
      </c>
    </row>
    <row r="284" customFormat="false" ht="15" hidden="false" customHeight="false" outlineLevel="0" collapsed="false">
      <c r="A284" s="5"/>
      <c r="B284" s="19"/>
      <c r="C284" s="5"/>
      <c r="D284" s="5"/>
      <c r="E284" s="4"/>
      <c r="F284" s="19"/>
      <c r="G284" s="16" t="str">
        <f aca="false">IF($A284="","",SUMIFS('Cash Book'!$D$5:$D$504,'Cash Book'!$G$5:$G$504,$A284))</f>
        <v/>
      </c>
      <c r="H284" s="16" t="str">
        <f aca="false">IF($A284="","",E284-G284)</f>
        <v/>
      </c>
      <c r="I284" s="21" t="str">
        <f aca="true">IF($A284="","",IF(H284&lt;=0,"Paid",IF(F284&lt;TODAY(),"OVERDUE",IF(G284&gt;0,"Part paid","Open"))))</f>
        <v/>
      </c>
      <c r="J284" s="22" t="str">
        <f aca="true">IF($A284="","",IF(AND(H284&gt;0,F284&lt;TODAY()),TODAY()-F284,0))</f>
        <v/>
      </c>
    </row>
    <row r="285" customFormat="false" ht="15" hidden="false" customHeight="false" outlineLevel="0" collapsed="false">
      <c r="A285" s="5"/>
      <c r="B285" s="19"/>
      <c r="C285" s="5"/>
      <c r="D285" s="5"/>
      <c r="E285" s="4"/>
      <c r="F285" s="19"/>
      <c r="G285" s="16" t="str">
        <f aca="false">IF($A285="","",SUMIFS('Cash Book'!$D$5:$D$504,'Cash Book'!$G$5:$G$504,$A285))</f>
        <v/>
      </c>
      <c r="H285" s="16" t="str">
        <f aca="false">IF($A285="","",E285-G285)</f>
        <v/>
      </c>
      <c r="I285" s="21" t="str">
        <f aca="true">IF($A285="","",IF(H285&lt;=0,"Paid",IF(F285&lt;TODAY(),"OVERDUE",IF(G285&gt;0,"Part paid","Open"))))</f>
        <v/>
      </c>
      <c r="J285" s="22" t="str">
        <f aca="true">IF($A285="","",IF(AND(H285&gt;0,F285&lt;TODAY()),TODAY()-F285,0))</f>
        <v/>
      </c>
    </row>
    <row r="286" customFormat="false" ht="15" hidden="false" customHeight="false" outlineLevel="0" collapsed="false">
      <c r="A286" s="5"/>
      <c r="B286" s="19"/>
      <c r="C286" s="5"/>
      <c r="D286" s="5"/>
      <c r="E286" s="4"/>
      <c r="F286" s="19"/>
      <c r="G286" s="16" t="str">
        <f aca="false">IF($A286="","",SUMIFS('Cash Book'!$D$5:$D$504,'Cash Book'!$G$5:$G$504,$A286))</f>
        <v/>
      </c>
      <c r="H286" s="16" t="str">
        <f aca="false">IF($A286="","",E286-G286)</f>
        <v/>
      </c>
      <c r="I286" s="21" t="str">
        <f aca="true">IF($A286="","",IF(H286&lt;=0,"Paid",IF(F286&lt;TODAY(),"OVERDUE",IF(G286&gt;0,"Part paid","Open"))))</f>
        <v/>
      </c>
      <c r="J286" s="22" t="str">
        <f aca="true">IF($A286="","",IF(AND(H286&gt;0,F286&lt;TODAY()),TODAY()-F286,0))</f>
        <v/>
      </c>
    </row>
    <row r="287" customFormat="false" ht="15" hidden="false" customHeight="false" outlineLevel="0" collapsed="false">
      <c r="A287" s="5"/>
      <c r="B287" s="19"/>
      <c r="C287" s="5"/>
      <c r="D287" s="5"/>
      <c r="E287" s="4"/>
      <c r="F287" s="19"/>
      <c r="G287" s="16" t="str">
        <f aca="false">IF($A287="","",SUMIFS('Cash Book'!$D$5:$D$504,'Cash Book'!$G$5:$G$504,$A287))</f>
        <v/>
      </c>
      <c r="H287" s="16" t="str">
        <f aca="false">IF($A287="","",E287-G287)</f>
        <v/>
      </c>
      <c r="I287" s="21" t="str">
        <f aca="true">IF($A287="","",IF(H287&lt;=0,"Paid",IF(F287&lt;TODAY(),"OVERDUE",IF(G287&gt;0,"Part paid","Open"))))</f>
        <v/>
      </c>
      <c r="J287" s="22" t="str">
        <f aca="true">IF($A287="","",IF(AND(H287&gt;0,F287&lt;TODAY()),TODAY()-F287,0))</f>
        <v/>
      </c>
    </row>
    <row r="288" customFormat="false" ht="15" hidden="false" customHeight="false" outlineLevel="0" collapsed="false">
      <c r="A288" s="5"/>
      <c r="B288" s="19"/>
      <c r="C288" s="5"/>
      <c r="D288" s="5"/>
      <c r="E288" s="4"/>
      <c r="F288" s="19"/>
      <c r="G288" s="16" t="str">
        <f aca="false">IF($A288="","",SUMIFS('Cash Book'!$D$5:$D$504,'Cash Book'!$G$5:$G$504,$A288))</f>
        <v/>
      </c>
      <c r="H288" s="16" t="str">
        <f aca="false">IF($A288="","",E288-G288)</f>
        <v/>
      </c>
      <c r="I288" s="21" t="str">
        <f aca="true">IF($A288="","",IF(H288&lt;=0,"Paid",IF(F288&lt;TODAY(),"OVERDUE",IF(G288&gt;0,"Part paid","Open"))))</f>
        <v/>
      </c>
      <c r="J288" s="22" t="str">
        <f aca="true">IF($A288="","",IF(AND(H288&gt;0,F288&lt;TODAY()),TODAY()-F288,0))</f>
        <v/>
      </c>
    </row>
    <row r="289" customFormat="false" ht="15" hidden="false" customHeight="false" outlineLevel="0" collapsed="false">
      <c r="A289" s="5"/>
      <c r="B289" s="19"/>
      <c r="C289" s="5"/>
      <c r="D289" s="5"/>
      <c r="E289" s="4"/>
      <c r="F289" s="19"/>
      <c r="G289" s="16" t="str">
        <f aca="false">IF($A289="","",SUMIFS('Cash Book'!$D$5:$D$504,'Cash Book'!$G$5:$G$504,$A289))</f>
        <v/>
      </c>
      <c r="H289" s="16" t="str">
        <f aca="false">IF($A289="","",E289-G289)</f>
        <v/>
      </c>
      <c r="I289" s="21" t="str">
        <f aca="true">IF($A289="","",IF(H289&lt;=0,"Paid",IF(F289&lt;TODAY(),"OVERDUE",IF(G289&gt;0,"Part paid","Open"))))</f>
        <v/>
      </c>
      <c r="J289" s="22" t="str">
        <f aca="true">IF($A289="","",IF(AND(H289&gt;0,F289&lt;TODAY()),TODAY()-F289,0))</f>
        <v/>
      </c>
    </row>
    <row r="290" customFormat="false" ht="15" hidden="false" customHeight="false" outlineLevel="0" collapsed="false">
      <c r="A290" s="5"/>
      <c r="B290" s="19"/>
      <c r="C290" s="5"/>
      <c r="D290" s="5"/>
      <c r="E290" s="4"/>
      <c r="F290" s="19"/>
      <c r="G290" s="16" t="str">
        <f aca="false">IF($A290="","",SUMIFS('Cash Book'!$D$5:$D$504,'Cash Book'!$G$5:$G$504,$A290))</f>
        <v/>
      </c>
      <c r="H290" s="16" t="str">
        <f aca="false">IF($A290="","",E290-G290)</f>
        <v/>
      </c>
      <c r="I290" s="21" t="str">
        <f aca="true">IF($A290="","",IF(H290&lt;=0,"Paid",IF(F290&lt;TODAY(),"OVERDUE",IF(G290&gt;0,"Part paid","Open"))))</f>
        <v/>
      </c>
      <c r="J290" s="22" t="str">
        <f aca="true">IF($A290="","",IF(AND(H290&gt;0,F290&lt;TODAY()),TODAY()-F290,0))</f>
        <v/>
      </c>
    </row>
    <row r="291" customFormat="false" ht="15" hidden="false" customHeight="false" outlineLevel="0" collapsed="false">
      <c r="A291" s="5"/>
      <c r="B291" s="19"/>
      <c r="C291" s="5"/>
      <c r="D291" s="5"/>
      <c r="E291" s="4"/>
      <c r="F291" s="19"/>
      <c r="G291" s="16" t="str">
        <f aca="false">IF($A291="","",SUMIFS('Cash Book'!$D$5:$D$504,'Cash Book'!$G$5:$G$504,$A291))</f>
        <v/>
      </c>
      <c r="H291" s="16" t="str">
        <f aca="false">IF($A291="","",E291-G291)</f>
        <v/>
      </c>
      <c r="I291" s="21" t="str">
        <f aca="true">IF($A291="","",IF(H291&lt;=0,"Paid",IF(F291&lt;TODAY(),"OVERDUE",IF(G291&gt;0,"Part paid","Open"))))</f>
        <v/>
      </c>
      <c r="J291" s="22" t="str">
        <f aca="true">IF($A291="","",IF(AND(H291&gt;0,F291&lt;TODAY()),TODAY()-F291,0))</f>
        <v/>
      </c>
    </row>
    <row r="292" customFormat="false" ht="15" hidden="false" customHeight="false" outlineLevel="0" collapsed="false">
      <c r="A292" s="5"/>
      <c r="B292" s="19"/>
      <c r="C292" s="5"/>
      <c r="D292" s="5"/>
      <c r="E292" s="4"/>
      <c r="F292" s="19"/>
      <c r="G292" s="16" t="str">
        <f aca="false">IF($A292="","",SUMIFS('Cash Book'!$D$5:$D$504,'Cash Book'!$G$5:$G$504,$A292))</f>
        <v/>
      </c>
      <c r="H292" s="16" t="str">
        <f aca="false">IF($A292="","",E292-G292)</f>
        <v/>
      </c>
      <c r="I292" s="21" t="str">
        <f aca="true">IF($A292="","",IF(H292&lt;=0,"Paid",IF(F292&lt;TODAY(),"OVERDUE",IF(G292&gt;0,"Part paid","Open"))))</f>
        <v/>
      </c>
      <c r="J292" s="22" t="str">
        <f aca="true">IF($A292="","",IF(AND(H292&gt;0,F292&lt;TODAY()),TODAY()-F292,0))</f>
        <v/>
      </c>
    </row>
    <row r="293" customFormat="false" ht="15" hidden="false" customHeight="false" outlineLevel="0" collapsed="false">
      <c r="A293" s="5"/>
      <c r="B293" s="19"/>
      <c r="C293" s="5"/>
      <c r="D293" s="5"/>
      <c r="E293" s="4"/>
      <c r="F293" s="19"/>
      <c r="G293" s="16" t="str">
        <f aca="false">IF($A293="","",SUMIFS('Cash Book'!$D$5:$D$504,'Cash Book'!$G$5:$G$504,$A293))</f>
        <v/>
      </c>
      <c r="H293" s="16" t="str">
        <f aca="false">IF($A293="","",E293-G293)</f>
        <v/>
      </c>
      <c r="I293" s="21" t="str">
        <f aca="true">IF($A293="","",IF(H293&lt;=0,"Paid",IF(F293&lt;TODAY(),"OVERDUE",IF(G293&gt;0,"Part paid","Open"))))</f>
        <v/>
      </c>
      <c r="J293" s="22" t="str">
        <f aca="true">IF($A293="","",IF(AND(H293&gt;0,F293&lt;TODAY()),TODAY()-F293,0))</f>
        <v/>
      </c>
    </row>
    <row r="294" customFormat="false" ht="15" hidden="false" customHeight="false" outlineLevel="0" collapsed="false">
      <c r="A294" s="5"/>
      <c r="B294" s="19"/>
      <c r="C294" s="5"/>
      <c r="D294" s="5"/>
      <c r="E294" s="4"/>
      <c r="F294" s="19"/>
      <c r="G294" s="16" t="str">
        <f aca="false">IF($A294="","",SUMIFS('Cash Book'!$D$5:$D$504,'Cash Book'!$G$5:$G$504,$A294))</f>
        <v/>
      </c>
      <c r="H294" s="16" t="str">
        <f aca="false">IF($A294="","",E294-G294)</f>
        <v/>
      </c>
      <c r="I294" s="21" t="str">
        <f aca="true">IF($A294="","",IF(H294&lt;=0,"Paid",IF(F294&lt;TODAY(),"OVERDUE",IF(G294&gt;0,"Part paid","Open"))))</f>
        <v/>
      </c>
      <c r="J294" s="22" t="str">
        <f aca="true">IF($A294="","",IF(AND(H294&gt;0,F294&lt;TODAY()),TODAY()-F294,0))</f>
        <v/>
      </c>
    </row>
    <row r="295" customFormat="false" ht="15" hidden="false" customHeight="false" outlineLevel="0" collapsed="false">
      <c r="A295" s="5"/>
      <c r="B295" s="19"/>
      <c r="C295" s="5"/>
      <c r="D295" s="5"/>
      <c r="E295" s="4"/>
      <c r="F295" s="19"/>
      <c r="G295" s="16" t="str">
        <f aca="false">IF($A295="","",SUMIFS('Cash Book'!$D$5:$D$504,'Cash Book'!$G$5:$G$504,$A295))</f>
        <v/>
      </c>
      <c r="H295" s="16" t="str">
        <f aca="false">IF($A295="","",E295-G295)</f>
        <v/>
      </c>
      <c r="I295" s="21" t="str">
        <f aca="true">IF($A295="","",IF(H295&lt;=0,"Paid",IF(F295&lt;TODAY(),"OVERDUE",IF(G295&gt;0,"Part paid","Open"))))</f>
        <v/>
      </c>
      <c r="J295" s="22" t="str">
        <f aca="true">IF($A295="","",IF(AND(H295&gt;0,F295&lt;TODAY()),TODAY()-F295,0))</f>
        <v/>
      </c>
    </row>
    <row r="296" customFormat="false" ht="15" hidden="false" customHeight="false" outlineLevel="0" collapsed="false">
      <c r="A296" s="5"/>
      <c r="B296" s="19"/>
      <c r="C296" s="5"/>
      <c r="D296" s="5"/>
      <c r="E296" s="4"/>
      <c r="F296" s="19"/>
      <c r="G296" s="16" t="str">
        <f aca="false">IF($A296="","",SUMIFS('Cash Book'!$D$5:$D$504,'Cash Book'!$G$5:$G$504,$A296))</f>
        <v/>
      </c>
      <c r="H296" s="16" t="str">
        <f aca="false">IF($A296="","",E296-G296)</f>
        <v/>
      </c>
      <c r="I296" s="21" t="str">
        <f aca="true">IF($A296="","",IF(H296&lt;=0,"Paid",IF(F296&lt;TODAY(),"OVERDUE",IF(G296&gt;0,"Part paid","Open"))))</f>
        <v/>
      </c>
      <c r="J296" s="22" t="str">
        <f aca="true">IF($A296="","",IF(AND(H296&gt;0,F296&lt;TODAY()),TODAY()-F296,0))</f>
        <v/>
      </c>
    </row>
    <row r="297" customFormat="false" ht="15" hidden="false" customHeight="false" outlineLevel="0" collapsed="false">
      <c r="A297" s="5"/>
      <c r="B297" s="19"/>
      <c r="C297" s="5"/>
      <c r="D297" s="5"/>
      <c r="E297" s="4"/>
      <c r="F297" s="19"/>
      <c r="G297" s="16" t="str">
        <f aca="false">IF($A297="","",SUMIFS('Cash Book'!$D$5:$D$504,'Cash Book'!$G$5:$G$504,$A297))</f>
        <v/>
      </c>
      <c r="H297" s="16" t="str">
        <f aca="false">IF($A297="","",E297-G297)</f>
        <v/>
      </c>
      <c r="I297" s="21" t="str">
        <f aca="true">IF($A297="","",IF(H297&lt;=0,"Paid",IF(F297&lt;TODAY(),"OVERDUE",IF(G297&gt;0,"Part paid","Open"))))</f>
        <v/>
      </c>
      <c r="J297" s="22" t="str">
        <f aca="true">IF($A297="","",IF(AND(H297&gt;0,F297&lt;TODAY()),TODAY()-F297,0))</f>
        <v/>
      </c>
    </row>
    <row r="298" customFormat="false" ht="15" hidden="false" customHeight="false" outlineLevel="0" collapsed="false">
      <c r="A298" s="5"/>
      <c r="B298" s="19"/>
      <c r="C298" s="5"/>
      <c r="D298" s="5"/>
      <c r="E298" s="4"/>
      <c r="F298" s="19"/>
      <c r="G298" s="16" t="str">
        <f aca="false">IF($A298="","",SUMIFS('Cash Book'!$D$5:$D$504,'Cash Book'!$G$5:$G$504,$A298))</f>
        <v/>
      </c>
      <c r="H298" s="16" t="str">
        <f aca="false">IF($A298="","",E298-G298)</f>
        <v/>
      </c>
      <c r="I298" s="21" t="str">
        <f aca="true">IF($A298="","",IF(H298&lt;=0,"Paid",IF(F298&lt;TODAY(),"OVERDUE",IF(G298&gt;0,"Part paid","Open"))))</f>
        <v/>
      </c>
      <c r="J298" s="22" t="str">
        <f aca="true">IF($A298="","",IF(AND(H298&gt;0,F298&lt;TODAY()),TODAY()-F298,0))</f>
        <v/>
      </c>
    </row>
    <row r="299" customFormat="false" ht="15" hidden="false" customHeight="false" outlineLevel="0" collapsed="false">
      <c r="A299" s="5"/>
      <c r="B299" s="19"/>
      <c r="C299" s="5"/>
      <c r="D299" s="5"/>
      <c r="E299" s="4"/>
      <c r="F299" s="19"/>
      <c r="G299" s="16" t="str">
        <f aca="false">IF($A299="","",SUMIFS('Cash Book'!$D$5:$D$504,'Cash Book'!$G$5:$G$504,$A299))</f>
        <v/>
      </c>
      <c r="H299" s="16" t="str">
        <f aca="false">IF($A299="","",E299-G299)</f>
        <v/>
      </c>
      <c r="I299" s="21" t="str">
        <f aca="true">IF($A299="","",IF(H299&lt;=0,"Paid",IF(F299&lt;TODAY(),"OVERDUE",IF(G299&gt;0,"Part paid","Open"))))</f>
        <v/>
      </c>
      <c r="J299" s="22" t="str">
        <f aca="true">IF($A299="","",IF(AND(H299&gt;0,F299&lt;TODAY()),TODAY()-F299,0))</f>
        <v/>
      </c>
    </row>
    <row r="300" customFormat="false" ht="15" hidden="false" customHeight="false" outlineLevel="0" collapsed="false">
      <c r="A300" s="5"/>
      <c r="B300" s="19"/>
      <c r="C300" s="5"/>
      <c r="D300" s="5"/>
      <c r="E300" s="4"/>
      <c r="F300" s="19"/>
      <c r="G300" s="16" t="str">
        <f aca="false">IF($A300="","",SUMIFS('Cash Book'!$D$5:$D$504,'Cash Book'!$G$5:$G$504,$A300))</f>
        <v/>
      </c>
      <c r="H300" s="16" t="str">
        <f aca="false">IF($A300="","",E300-G300)</f>
        <v/>
      </c>
      <c r="I300" s="21" t="str">
        <f aca="true">IF($A300="","",IF(H300&lt;=0,"Paid",IF(F300&lt;TODAY(),"OVERDUE",IF(G300&gt;0,"Part paid","Open"))))</f>
        <v/>
      </c>
      <c r="J300" s="22" t="str">
        <f aca="true">IF($A300="","",IF(AND(H300&gt;0,F300&lt;TODAY()),TODAY()-F300,0))</f>
        <v/>
      </c>
    </row>
    <row r="301" customFormat="false" ht="15" hidden="false" customHeight="false" outlineLevel="0" collapsed="false">
      <c r="A301" s="5"/>
      <c r="B301" s="19"/>
      <c r="C301" s="5"/>
      <c r="D301" s="5"/>
      <c r="E301" s="4"/>
      <c r="F301" s="19"/>
      <c r="G301" s="16" t="str">
        <f aca="false">IF($A301="","",SUMIFS('Cash Book'!$D$5:$D$504,'Cash Book'!$G$5:$G$504,$A301))</f>
        <v/>
      </c>
      <c r="H301" s="16" t="str">
        <f aca="false">IF($A301="","",E301-G301)</f>
        <v/>
      </c>
      <c r="I301" s="21" t="str">
        <f aca="true">IF($A301="","",IF(H301&lt;=0,"Paid",IF(F301&lt;TODAY(),"OVERDUE",IF(G301&gt;0,"Part paid","Open"))))</f>
        <v/>
      </c>
      <c r="J301" s="22" t="str">
        <f aca="true">IF($A301="","",IF(AND(H301&gt;0,F301&lt;TODAY()),TODAY()-F301,0))</f>
        <v/>
      </c>
    </row>
    <row r="302" customFormat="false" ht="15" hidden="false" customHeight="false" outlineLevel="0" collapsed="false">
      <c r="A302" s="5"/>
      <c r="B302" s="19"/>
      <c r="C302" s="5"/>
      <c r="D302" s="5"/>
      <c r="E302" s="4"/>
      <c r="F302" s="19"/>
      <c r="G302" s="16" t="str">
        <f aca="false">IF($A302="","",SUMIFS('Cash Book'!$D$5:$D$504,'Cash Book'!$G$5:$G$504,$A302))</f>
        <v/>
      </c>
      <c r="H302" s="16" t="str">
        <f aca="false">IF($A302="","",E302-G302)</f>
        <v/>
      </c>
      <c r="I302" s="21" t="str">
        <f aca="true">IF($A302="","",IF(H302&lt;=0,"Paid",IF(F302&lt;TODAY(),"OVERDUE",IF(G302&gt;0,"Part paid","Open"))))</f>
        <v/>
      </c>
      <c r="J302" s="22" t="str">
        <f aca="true">IF($A302="","",IF(AND(H302&gt;0,F302&lt;TODAY()),TODAY()-F302,0))</f>
        <v/>
      </c>
    </row>
    <row r="303" customFormat="false" ht="15" hidden="false" customHeight="false" outlineLevel="0" collapsed="false">
      <c r="A303" s="5"/>
      <c r="B303" s="19"/>
      <c r="C303" s="5"/>
      <c r="D303" s="5"/>
      <c r="E303" s="4"/>
      <c r="F303" s="19"/>
      <c r="G303" s="16" t="str">
        <f aca="false">IF($A303="","",SUMIFS('Cash Book'!$D$5:$D$504,'Cash Book'!$G$5:$G$504,$A303))</f>
        <v/>
      </c>
      <c r="H303" s="16" t="str">
        <f aca="false">IF($A303="","",E303-G303)</f>
        <v/>
      </c>
      <c r="I303" s="21" t="str">
        <f aca="true">IF($A303="","",IF(H303&lt;=0,"Paid",IF(F303&lt;TODAY(),"OVERDUE",IF(G303&gt;0,"Part paid","Open"))))</f>
        <v/>
      </c>
      <c r="J303" s="22" t="str">
        <f aca="true">IF($A303="","",IF(AND(H303&gt;0,F303&lt;TODAY()),TODAY()-F303,0))</f>
        <v/>
      </c>
    </row>
    <row r="304" customFormat="false" ht="15" hidden="false" customHeight="false" outlineLevel="0" collapsed="false">
      <c r="A304" s="5"/>
      <c r="B304" s="19"/>
      <c r="C304" s="5"/>
      <c r="D304" s="5"/>
      <c r="E304" s="4"/>
      <c r="F304" s="19"/>
      <c r="G304" s="16" t="str">
        <f aca="false">IF($A304="","",SUMIFS('Cash Book'!$D$5:$D$504,'Cash Book'!$G$5:$G$504,$A304))</f>
        <v/>
      </c>
      <c r="H304" s="16" t="str">
        <f aca="false">IF($A304="","",E304-G304)</f>
        <v/>
      </c>
      <c r="I304" s="21" t="str">
        <f aca="true">IF($A304="","",IF(H304&lt;=0,"Paid",IF(F304&lt;TODAY(),"OVERDUE",IF(G304&gt;0,"Part paid","Open"))))</f>
        <v/>
      </c>
      <c r="J304" s="22" t="str">
        <f aca="true">IF($A304="","",IF(AND(H304&gt;0,F304&lt;TODAY()),TODAY()-F304,0))</f>
        <v/>
      </c>
    </row>
    <row r="305" customFormat="false" ht="15" hidden="false" customHeight="false" outlineLevel="0" collapsed="false">
      <c r="A305" s="5"/>
      <c r="B305" s="19"/>
      <c r="C305" s="5"/>
      <c r="D305" s="5"/>
      <c r="E305" s="4"/>
      <c r="F305" s="19"/>
      <c r="G305" s="16" t="str">
        <f aca="false">IF($A305="","",SUMIFS('Cash Book'!$D$5:$D$504,'Cash Book'!$G$5:$G$504,$A305))</f>
        <v/>
      </c>
      <c r="H305" s="16" t="str">
        <f aca="false">IF($A305="","",E305-G305)</f>
        <v/>
      </c>
      <c r="I305" s="21" t="str">
        <f aca="true">IF($A305="","",IF(H305&lt;=0,"Paid",IF(F305&lt;TODAY(),"OVERDUE",IF(G305&gt;0,"Part paid","Open"))))</f>
        <v/>
      </c>
      <c r="J305" s="22" t="str">
        <f aca="true">IF($A305="","",IF(AND(H305&gt;0,F305&lt;TODAY()),TODAY()-F305,0))</f>
        <v/>
      </c>
    </row>
    <row r="306" customFormat="false" ht="15" hidden="false" customHeight="false" outlineLevel="0" collapsed="false">
      <c r="A306" s="5"/>
      <c r="B306" s="19"/>
      <c r="C306" s="5"/>
      <c r="D306" s="5"/>
      <c r="E306" s="4"/>
      <c r="F306" s="19"/>
      <c r="G306" s="16" t="str">
        <f aca="false">IF($A306="","",SUMIFS('Cash Book'!$D$5:$D$504,'Cash Book'!$G$5:$G$504,$A306))</f>
        <v/>
      </c>
      <c r="H306" s="16" t="str">
        <f aca="false">IF($A306="","",E306-G306)</f>
        <v/>
      </c>
      <c r="I306" s="21" t="str">
        <f aca="true">IF($A306="","",IF(H306&lt;=0,"Paid",IF(F306&lt;TODAY(),"OVERDUE",IF(G306&gt;0,"Part paid","Open"))))</f>
        <v/>
      </c>
      <c r="J306" s="22" t="str">
        <f aca="true">IF($A306="","",IF(AND(H306&gt;0,F306&lt;TODAY()),TODAY()-F306,0))</f>
        <v/>
      </c>
    </row>
    <row r="307" customFormat="false" ht="15" hidden="false" customHeight="false" outlineLevel="0" collapsed="false">
      <c r="A307" s="5"/>
      <c r="B307" s="19"/>
      <c r="C307" s="5"/>
      <c r="D307" s="5"/>
      <c r="E307" s="4"/>
      <c r="F307" s="19"/>
      <c r="G307" s="16" t="str">
        <f aca="false">IF($A307="","",SUMIFS('Cash Book'!$D$5:$D$504,'Cash Book'!$G$5:$G$504,$A307))</f>
        <v/>
      </c>
      <c r="H307" s="16" t="str">
        <f aca="false">IF($A307="","",E307-G307)</f>
        <v/>
      </c>
      <c r="I307" s="21" t="str">
        <f aca="true">IF($A307="","",IF(H307&lt;=0,"Paid",IF(F307&lt;TODAY(),"OVERDUE",IF(G307&gt;0,"Part paid","Open"))))</f>
        <v/>
      </c>
      <c r="J307" s="22" t="str">
        <f aca="true">IF($A307="","",IF(AND(H307&gt;0,F307&lt;TODAY()),TODAY()-F307,0))</f>
        <v/>
      </c>
    </row>
    <row r="308" customFormat="false" ht="15" hidden="false" customHeight="false" outlineLevel="0" collapsed="false">
      <c r="A308" s="5"/>
      <c r="B308" s="19"/>
      <c r="C308" s="5"/>
      <c r="D308" s="5"/>
      <c r="E308" s="4"/>
      <c r="F308" s="19"/>
      <c r="G308" s="16" t="str">
        <f aca="false">IF($A308="","",SUMIFS('Cash Book'!$D$5:$D$504,'Cash Book'!$G$5:$G$504,$A308))</f>
        <v/>
      </c>
      <c r="H308" s="16" t="str">
        <f aca="false">IF($A308="","",E308-G308)</f>
        <v/>
      </c>
      <c r="I308" s="21" t="str">
        <f aca="true">IF($A308="","",IF(H308&lt;=0,"Paid",IF(F308&lt;TODAY(),"OVERDUE",IF(G308&gt;0,"Part paid","Open"))))</f>
        <v/>
      </c>
      <c r="J308" s="22" t="str">
        <f aca="true">IF($A308="","",IF(AND(H308&gt;0,F308&lt;TODAY()),TODAY()-F308,0))</f>
        <v/>
      </c>
    </row>
    <row r="309" customFormat="false" ht="15" hidden="false" customHeight="false" outlineLevel="0" collapsed="false">
      <c r="A309" s="5"/>
      <c r="B309" s="19"/>
      <c r="C309" s="5"/>
      <c r="D309" s="5"/>
      <c r="E309" s="4"/>
      <c r="F309" s="19"/>
      <c r="G309" s="16" t="str">
        <f aca="false">IF($A309="","",SUMIFS('Cash Book'!$D$5:$D$504,'Cash Book'!$G$5:$G$504,$A309))</f>
        <v/>
      </c>
      <c r="H309" s="16" t="str">
        <f aca="false">IF($A309="","",E309-G309)</f>
        <v/>
      </c>
      <c r="I309" s="21" t="str">
        <f aca="true">IF($A309="","",IF(H309&lt;=0,"Paid",IF(F309&lt;TODAY(),"OVERDUE",IF(G309&gt;0,"Part paid","Open"))))</f>
        <v/>
      </c>
      <c r="J309" s="22" t="str">
        <f aca="true">IF($A309="","",IF(AND(H309&gt;0,F309&lt;TODAY()),TODAY()-F309,0))</f>
        <v/>
      </c>
    </row>
    <row r="310" customFormat="false" ht="15" hidden="false" customHeight="false" outlineLevel="0" collapsed="false">
      <c r="A310" s="5"/>
      <c r="B310" s="19"/>
      <c r="C310" s="5"/>
      <c r="D310" s="5"/>
      <c r="E310" s="4"/>
      <c r="F310" s="19"/>
      <c r="G310" s="16" t="str">
        <f aca="false">IF($A310="","",SUMIFS('Cash Book'!$D$5:$D$504,'Cash Book'!$G$5:$G$504,$A310))</f>
        <v/>
      </c>
      <c r="H310" s="16" t="str">
        <f aca="false">IF($A310="","",E310-G310)</f>
        <v/>
      </c>
      <c r="I310" s="21" t="str">
        <f aca="true">IF($A310="","",IF(H310&lt;=0,"Paid",IF(F310&lt;TODAY(),"OVERDUE",IF(G310&gt;0,"Part paid","Open"))))</f>
        <v/>
      </c>
      <c r="J310" s="22" t="str">
        <f aca="true">IF($A310="","",IF(AND(H310&gt;0,F310&lt;TODAY()),TODAY()-F310,0))</f>
        <v/>
      </c>
    </row>
    <row r="311" customFormat="false" ht="15" hidden="false" customHeight="false" outlineLevel="0" collapsed="false">
      <c r="A311" s="5"/>
      <c r="B311" s="19"/>
      <c r="C311" s="5"/>
      <c r="D311" s="5"/>
      <c r="E311" s="4"/>
      <c r="F311" s="19"/>
      <c r="G311" s="16" t="str">
        <f aca="false">IF($A311="","",SUMIFS('Cash Book'!$D$5:$D$504,'Cash Book'!$G$5:$G$504,$A311))</f>
        <v/>
      </c>
      <c r="H311" s="16" t="str">
        <f aca="false">IF($A311="","",E311-G311)</f>
        <v/>
      </c>
      <c r="I311" s="21" t="str">
        <f aca="true">IF($A311="","",IF(H311&lt;=0,"Paid",IF(F311&lt;TODAY(),"OVERDUE",IF(G311&gt;0,"Part paid","Open"))))</f>
        <v/>
      </c>
      <c r="J311" s="22" t="str">
        <f aca="true">IF($A311="","",IF(AND(H311&gt;0,F311&lt;TODAY()),TODAY()-F311,0))</f>
        <v/>
      </c>
    </row>
    <row r="312" customFormat="false" ht="15" hidden="false" customHeight="false" outlineLevel="0" collapsed="false">
      <c r="A312" s="5"/>
      <c r="B312" s="19"/>
      <c r="C312" s="5"/>
      <c r="D312" s="5"/>
      <c r="E312" s="4"/>
      <c r="F312" s="19"/>
      <c r="G312" s="16" t="str">
        <f aca="false">IF($A312="","",SUMIFS('Cash Book'!$D$5:$D$504,'Cash Book'!$G$5:$G$504,$A312))</f>
        <v/>
      </c>
      <c r="H312" s="16" t="str">
        <f aca="false">IF($A312="","",E312-G312)</f>
        <v/>
      </c>
      <c r="I312" s="21" t="str">
        <f aca="true">IF($A312="","",IF(H312&lt;=0,"Paid",IF(F312&lt;TODAY(),"OVERDUE",IF(G312&gt;0,"Part paid","Open"))))</f>
        <v/>
      </c>
      <c r="J312" s="22" t="str">
        <f aca="true">IF($A312="","",IF(AND(H312&gt;0,F312&lt;TODAY()),TODAY()-F312,0))</f>
        <v/>
      </c>
    </row>
    <row r="313" customFormat="false" ht="15" hidden="false" customHeight="false" outlineLevel="0" collapsed="false">
      <c r="A313" s="5"/>
      <c r="B313" s="19"/>
      <c r="C313" s="5"/>
      <c r="D313" s="5"/>
      <c r="E313" s="4"/>
      <c r="F313" s="19"/>
      <c r="G313" s="16" t="str">
        <f aca="false">IF($A313="","",SUMIFS('Cash Book'!$D$5:$D$504,'Cash Book'!$G$5:$G$504,$A313))</f>
        <v/>
      </c>
      <c r="H313" s="16" t="str">
        <f aca="false">IF($A313="","",E313-G313)</f>
        <v/>
      </c>
      <c r="I313" s="21" t="str">
        <f aca="true">IF($A313="","",IF(H313&lt;=0,"Paid",IF(F313&lt;TODAY(),"OVERDUE",IF(G313&gt;0,"Part paid","Open"))))</f>
        <v/>
      </c>
      <c r="J313" s="22" t="str">
        <f aca="true">IF($A313="","",IF(AND(H313&gt;0,F313&lt;TODAY()),TODAY()-F313,0))</f>
        <v/>
      </c>
    </row>
    <row r="314" customFormat="false" ht="15" hidden="false" customHeight="false" outlineLevel="0" collapsed="false">
      <c r="A314" s="5"/>
      <c r="B314" s="19"/>
      <c r="C314" s="5"/>
      <c r="D314" s="5"/>
      <c r="E314" s="4"/>
      <c r="F314" s="19"/>
      <c r="G314" s="16" t="str">
        <f aca="false">IF($A314="","",SUMIFS('Cash Book'!$D$5:$D$504,'Cash Book'!$G$5:$G$504,$A314))</f>
        <v/>
      </c>
      <c r="H314" s="16" t="str">
        <f aca="false">IF($A314="","",E314-G314)</f>
        <v/>
      </c>
      <c r="I314" s="21" t="str">
        <f aca="true">IF($A314="","",IF(H314&lt;=0,"Paid",IF(F314&lt;TODAY(),"OVERDUE",IF(G314&gt;0,"Part paid","Open"))))</f>
        <v/>
      </c>
      <c r="J314" s="22" t="str">
        <f aca="true">IF($A314="","",IF(AND(H314&gt;0,F314&lt;TODAY()),TODAY()-F314,0))</f>
        <v/>
      </c>
    </row>
    <row r="315" customFormat="false" ht="15" hidden="false" customHeight="false" outlineLevel="0" collapsed="false">
      <c r="A315" s="5"/>
      <c r="B315" s="19"/>
      <c r="C315" s="5"/>
      <c r="D315" s="5"/>
      <c r="E315" s="4"/>
      <c r="F315" s="19"/>
      <c r="G315" s="16" t="str">
        <f aca="false">IF($A315="","",SUMIFS('Cash Book'!$D$5:$D$504,'Cash Book'!$G$5:$G$504,$A315))</f>
        <v/>
      </c>
      <c r="H315" s="16" t="str">
        <f aca="false">IF($A315="","",E315-G315)</f>
        <v/>
      </c>
      <c r="I315" s="21" t="str">
        <f aca="true">IF($A315="","",IF(H315&lt;=0,"Paid",IF(F315&lt;TODAY(),"OVERDUE",IF(G315&gt;0,"Part paid","Open"))))</f>
        <v/>
      </c>
      <c r="J315" s="22" t="str">
        <f aca="true">IF($A315="","",IF(AND(H315&gt;0,F315&lt;TODAY()),TODAY()-F315,0))</f>
        <v/>
      </c>
    </row>
    <row r="316" customFormat="false" ht="15" hidden="false" customHeight="false" outlineLevel="0" collapsed="false">
      <c r="A316" s="5"/>
      <c r="B316" s="19"/>
      <c r="C316" s="5"/>
      <c r="D316" s="5"/>
      <c r="E316" s="4"/>
      <c r="F316" s="19"/>
      <c r="G316" s="16" t="str">
        <f aca="false">IF($A316="","",SUMIFS('Cash Book'!$D$5:$D$504,'Cash Book'!$G$5:$G$504,$A316))</f>
        <v/>
      </c>
      <c r="H316" s="16" t="str">
        <f aca="false">IF($A316="","",E316-G316)</f>
        <v/>
      </c>
      <c r="I316" s="21" t="str">
        <f aca="true">IF($A316="","",IF(H316&lt;=0,"Paid",IF(F316&lt;TODAY(),"OVERDUE",IF(G316&gt;0,"Part paid","Open"))))</f>
        <v/>
      </c>
      <c r="J316" s="22" t="str">
        <f aca="true">IF($A316="","",IF(AND(H316&gt;0,F316&lt;TODAY()),TODAY()-F316,0))</f>
        <v/>
      </c>
    </row>
    <row r="317" customFormat="false" ht="15" hidden="false" customHeight="false" outlineLevel="0" collapsed="false">
      <c r="A317" s="5"/>
      <c r="B317" s="19"/>
      <c r="C317" s="5"/>
      <c r="D317" s="5"/>
      <c r="E317" s="4"/>
      <c r="F317" s="19"/>
      <c r="G317" s="16" t="str">
        <f aca="false">IF($A317="","",SUMIFS('Cash Book'!$D$5:$D$504,'Cash Book'!$G$5:$G$504,$A317))</f>
        <v/>
      </c>
      <c r="H317" s="16" t="str">
        <f aca="false">IF($A317="","",E317-G317)</f>
        <v/>
      </c>
      <c r="I317" s="21" t="str">
        <f aca="true">IF($A317="","",IF(H317&lt;=0,"Paid",IF(F317&lt;TODAY(),"OVERDUE",IF(G317&gt;0,"Part paid","Open"))))</f>
        <v/>
      </c>
      <c r="J317" s="22" t="str">
        <f aca="true">IF($A317="","",IF(AND(H317&gt;0,F317&lt;TODAY()),TODAY()-F317,0))</f>
        <v/>
      </c>
    </row>
    <row r="318" customFormat="false" ht="15" hidden="false" customHeight="false" outlineLevel="0" collapsed="false">
      <c r="A318" s="5"/>
      <c r="B318" s="19"/>
      <c r="C318" s="5"/>
      <c r="D318" s="5"/>
      <c r="E318" s="4"/>
      <c r="F318" s="19"/>
      <c r="G318" s="16" t="str">
        <f aca="false">IF($A318="","",SUMIFS('Cash Book'!$D$5:$D$504,'Cash Book'!$G$5:$G$504,$A318))</f>
        <v/>
      </c>
      <c r="H318" s="16" t="str">
        <f aca="false">IF($A318="","",E318-G318)</f>
        <v/>
      </c>
      <c r="I318" s="21" t="str">
        <f aca="true">IF($A318="","",IF(H318&lt;=0,"Paid",IF(F318&lt;TODAY(),"OVERDUE",IF(G318&gt;0,"Part paid","Open"))))</f>
        <v/>
      </c>
      <c r="J318" s="22" t="str">
        <f aca="true">IF($A318="","",IF(AND(H318&gt;0,F318&lt;TODAY()),TODAY()-F318,0))</f>
        <v/>
      </c>
    </row>
    <row r="319" customFormat="false" ht="15" hidden="false" customHeight="false" outlineLevel="0" collapsed="false">
      <c r="A319" s="5"/>
      <c r="B319" s="19"/>
      <c r="C319" s="5"/>
      <c r="D319" s="5"/>
      <c r="E319" s="4"/>
      <c r="F319" s="19"/>
      <c r="G319" s="16" t="str">
        <f aca="false">IF($A319="","",SUMIFS('Cash Book'!$D$5:$D$504,'Cash Book'!$G$5:$G$504,$A319))</f>
        <v/>
      </c>
      <c r="H319" s="16" t="str">
        <f aca="false">IF($A319="","",E319-G319)</f>
        <v/>
      </c>
      <c r="I319" s="21" t="str">
        <f aca="true">IF($A319="","",IF(H319&lt;=0,"Paid",IF(F319&lt;TODAY(),"OVERDUE",IF(G319&gt;0,"Part paid","Open"))))</f>
        <v/>
      </c>
      <c r="J319" s="22" t="str">
        <f aca="true">IF($A319="","",IF(AND(H319&gt;0,F319&lt;TODAY()),TODAY()-F319,0))</f>
        <v/>
      </c>
    </row>
    <row r="320" customFormat="false" ht="15" hidden="false" customHeight="false" outlineLevel="0" collapsed="false">
      <c r="A320" s="5"/>
      <c r="B320" s="19"/>
      <c r="C320" s="5"/>
      <c r="D320" s="5"/>
      <c r="E320" s="4"/>
      <c r="F320" s="19"/>
      <c r="G320" s="16" t="str">
        <f aca="false">IF($A320="","",SUMIFS('Cash Book'!$D$5:$D$504,'Cash Book'!$G$5:$G$504,$A320))</f>
        <v/>
      </c>
      <c r="H320" s="16" t="str">
        <f aca="false">IF($A320="","",E320-G320)</f>
        <v/>
      </c>
      <c r="I320" s="21" t="str">
        <f aca="true">IF($A320="","",IF(H320&lt;=0,"Paid",IF(F320&lt;TODAY(),"OVERDUE",IF(G320&gt;0,"Part paid","Open"))))</f>
        <v/>
      </c>
      <c r="J320" s="22" t="str">
        <f aca="true">IF($A320="","",IF(AND(H320&gt;0,F320&lt;TODAY()),TODAY()-F320,0))</f>
        <v/>
      </c>
    </row>
    <row r="321" customFormat="false" ht="15" hidden="false" customHeight="false" outlineLevel="0" collapsed="false">
      <c r="A321" s="5"/>
      <c r="B321" s="19"/>
      <c r="C321" s="5"/>
      <c r="D321" s="5"/>
      <c r="E321" s="4"/>
      <c r="F321" s="19"/>
      <c r="G321" s="16" t="str">
        <f aca="false">IF($A321="","",SUMIFS('Cash Book'!$D$5:$D$504,'Cash Book'!$G$5:$G$504,$A321))</f>
        <v/>
      </c>
      <c r="H321" s="16" t="str">
        <f aca="false">IF($A321="","",E321-G321)</f>
        <v/>
      </c>
      <c r="I321" s="21" t="str">
        <f aca="true">IF($A321="","",IF(H321&lt;=0,"Paid",IF(F321&lt;TODAY(),"OVERDUE",IF(G321&gt;0,"Part paid","Open"))))</f>
        <v/>
      </c>
      <c r="J321" s="22" t="str">
        <f aca="true">IF($A321="","",IF(AND(H321&gt;0,F321&lt;TODAY()),TODAY()-F321,0))</f>
        <v/>
      </c>
    </row>
    <row r="322" customFormat="false" ht="15" hidden="false" customHeight="false" outlineLevel="0" collapsed="false">
      <c r="A322" s="5"/>
      <c r="B322" s="19"/>
      <c r="C322" s="5"/>
      <c r="D322" s="5"/>
      <c r="E322" s="4"/>
      <c r="F322" s="19"/>
      <c r="G322" s="16" t="str">
        <f aca="false">IF($A322="","",SUMIFS('Cash Book'!$D$5:$D$504,'Cash Book'!$G$5:$G$504,$A322))</f>
        <v/>
      </c>
      <c r="H322" s="16" t="str">
        <f aca="false">IF($A322="","",E322-G322)</f>
        <v/>
      </c>
      <c r="I322" s="21" t="str">
        <f aca="true">IF($A322="","",IF(H322&lt;=0,"Paid",IF(F322&lt;TODAY(),"OVERDUE",IF(G322&gt;0,"Part paid","Open"))))</f>
        <v/>
      </c>
      <c r="J322" s="22" t="str">
        <f aca="true">IF($A322="","",IF(AND(H322&gt;0,F322&lt;TODAY()),TODAY()-F322,0))</f>
        <v/>
      </c>
    </row>
    <row r="323" customFormat="false" ht="15" hidden="false" customHeight="false" outlineLevel="0" collapsed="false">
      <c r="A323" s="5"/>
      <c r="B323" s="19"/>
      <c r="C323" s="5"/>
      <c r="D323" s="5"/>
      <c r="E323" s="4"/>
      <c r="F323" s="19"/>
      <c r="G323" s="16" t="str">
        <f aca="false">IF($A323="","",SUMIFS('Cash Book'!$D$5:$D$504,'Cash Book'!$G$5:$G$504,$A323))</f>
        <v/>
      </c>
      <c r="H323" s="16" t="str">
        <f aca="false">IF($A323="","",E323-G323)</f>
        <v/>
      </c>
      <c r="I323" s="21" t="str">
        <f aca="true">IF($A323="","",IF(H323&lt;=0,"Paid",IF(F323&lt;TODAY(),"OVERDUE",IF(G323&gt;0,"Part paid","Open"))))</f>
        <v/>
      </c>
      <c r="J323" s="22" t="str">
        <f aca="true">IF($A323="","",IF(AND(H323&gt;0,F323&lt;TODAY()),TODAY()-F323,0))</f>
        <v/>
      </c>
    </row>
    <row r="324" customFormat="false" ht="15" hidden="false" customHeight="false" outlineLevel="0" collapsed="false">
      <c r="A324" s="5"/>
      <c r="B324" s="19"/>
      <c r="C324" s="5"/>
      <c r="D324" s="5"/>
      <c r="E324" s="4"/>
      <c r="F324" s="19"/>
      <c r="G324" s="16" t="str">
        <f aca="false">IF($A324="","",SUMIFS('Cash Book'!$D$5:$D$504,'Cash Book'!$G$5:$G$504,$A324))</f>
        <v/>
      </c>
      <c r="H324" s="16" t="str">
        <f aca="false">IF($A324="","",E324-G324)</f>
        <v/>
      </c>
      <c r="I324" s="21" t="str">
        <f aca="true">IF($A324="","",IF(H324&lt;=0,"Paid",IF(F324&lt;TODAY(),"OVERDUE",IF(G324&gt;0,"Part paid","Open"))))</f>
        <v/>
      </c>
      <c r="J324" s="22" t="str">
        <f aca="true">IF($A324="","",IF(AND(H324&gt;0,F324&lt;TODAY()),TODAY()-F324,0))</f>
        <v/>
      </c>
    </row>
    <row r="325" customFormat="false" ht="15" hidden="false" customHeight="false" outlineLevel="0" collapsed="false">
      <c r="A325" s="5"/>
      <c r="B325" s="19"/>
      <c r="C325" s="5"/>
      <c r="D325" s="5"/>
      <c r="E325" s="4"/>
      <c r="F325" s="19"/>
      <c r="G325" s="16" t="str">
        <f aca="false">IF($A325="","",SUMIFS('Cash Book'!$D$5:$D$504,'Cash Book'!$G$5:$G$504,$A325))</f>
        <v/>
      </c>
      <c r="H325" s="16" t="str">
        <f aca="false">IF($A325="","",E325-G325)</f>
        <v/>
      </c>
      <c r="I325" s="21" t="str">
        <f aca="true">IF($A325="","",IF(H325&lt;=0,"Paid",IF(F325&lt;TODAY(),"OVERDUE",IF(G325&gt;0,"Part paid","Open"))))</f>
        <v/>
      </c>
      <c r="J325" s="22" t="str">
        <f aca="true">IF($A325="","",IF(AND(H325&gt;0,F325&lt;TODAY()),TODAY()-F325,0))</f>
        <v/>
      </c>
    </row>
    <row r="326" customFormat="false" ht="15" hidden="false" customHeight="false" outlineLevel="0" collapsed="false">
      <c r="A326" s="5"/>
      <c r="B326" s="19"/>
      <c r="C326" s="5"/>
      <c r="D326" s="5"/>
      <c r="E326" s="4"/>
      <c r="F326" s="19"/>
      <c r="G326" s="16" t="str">
        <f aca="false">IF($A326="","",SUMIFS('Cash Book'!$D$5:$D$504,'Cash Book'!$G$5:$G$504,$A326))</f>
        <v/>
      </c>
      <c r="H326" s="16" t="str">
        <f aca="false">IF($A326="","",E326-G326)</f>
        <v/>
      </c>
      <c r="I326" s="21" t="str">
        <f aca="true">IF($A326="","",IF(H326&lt;=0,"Paid",IF(F326&lt;TODAY(),"OVERDUE",IF(G326&gt;0,"Part paid","Open"))))</f>
        <v/>
      </c>
      <c r="J326" s="22" t="str">
        <f aca="true">IF($A326="","",IF(AND(H326&gt;0,F326&lt;TODAY()),TODAY()-F326,0))</f>
        <v/>
      </c>
    </row>
    <row r="327" customFormat="false" ht="15" hidden="false" customHeight="false" outlineLevel="0" collapsed="false">
      <c r="A327" s="5"/>
      <c r="B327" s="19"/>
      <c r="C327" s="5"/>
      <c r="D327" s="5"/>
      <c r="E327" s="4"/>
      <c r="F327" s="19"/>
      <c r="G327" s="16" t="str">
        <f aca="false">IF($A327="","",SUMIFS('Cash Book'!$D$5:$D$504,'Cash Book'!$G$5:$G$504,$A327))</f>
        <v/>
      </c>
      <c r="H327" s="16" t="str">
        <f aca="false">IF($A327="","",E327-G327)</f>
        <v/>
      </c>
      <c r="I327" s="21" t="str">
        <f aca="true">IF($A327="","",IF(H327&lt;=0,"Paid",IF(F327&lt;TODAY(),"OVERDUE",IF(G327&gt;0,"Part paid","Open"))))</f>
        <v/>
      </c>
      <c r="J327" s="22" t="str">
        <f aca="true">IF($A327="","",IF(AND(H327&gt;0,F327&lt;TODAY()),TODAY()-F327,0))</f>
        <v/>
      </c>
    </row>
    <row r="328" customFormat="false" ht="15" hidden="false" customHeight="false" outlineLevel="0" collapsed="false">
      <c r="A328" s="5"/>
      <c r="B328" s="19"/>
      <c r="C328" s="5"/>
      <c r="D328" s="5"/>
      <c r="E328" s="4"/>
      <c r="F328" s="19"/>
      <c r="G328" s="16" t="str">
        <f aca="false">IF($A328="","",SUMIFS('Cash Book'!$D$5:$D$504,'Cash Book'!$G$5:$G$504,$A328))</f>
        <v/>
      </c>
      <c r="H328" s="16" t="str">
        <f aca="false">IF($A328="","",E328-G328)</f>
        <v/>
      </c>
      <c r="I328" s="21" t="str">
        <f aca="true">IF($A328="","",IF(H328&lt;=0,"Paid",IF(F328&lt;TODAY(),"OVERDUE",IF(G328&gt;0,"Part paid","Open"))))</f>
        <v/>
      </c>
      <c r="J328" s="22" t="str">
        <f aca="true">IF($A328="","",IF(AND(H328&gt;0,F328&lt;TODAY()),TODAY()-F328,0))</f>
        <v/>
      </c>
    </row>
    <row r="329" customFormat="false" ht="15" hidden="false" customHeight="false" outlineLevel="0" collapsed="false">
      <c r="A329" s="5"/>
      <c r="B329" s="19"/>
      <c r="C329" s="5"/>
      <c r="D329" s="5"/>
      <c r="E329" s="4"/>
      <c r="F329" s="19"/>
      <c r="G329" s="16" t="str">
        <f aca="false">IF($A329="","",SUMIFS('Cash Book'!$D$5:$D$504,'Cash Book'!$G$5:$G$504,$A329))</f>
        <v/>
      </c>
      <c r="H329" s="16" t="str">
        <f aca="false">IF($A329="","",E329-G329)</f>
        <v/>
      </c>
      <c r="I329" s="21" t="str">
        <f aca="true">IF($A329="","",IF(H329&lt;=0,"Paid",IF(F329&lt;TODAY(),"OVERDUE",IF(G329&gt;0,"Part paid","Open"))))</f>
        <v/>
      </c>
      <c r="J329" s="22" t="str">
        <f aca="true">IF($A329="","",IF(AND(H329&gt;0,F329&lt;TODAY()),TODAY()-F329,0))</f>
        <v/>
      </c>
    </row>
    <row r="330" customFormat="false" ht="15" hidden="false" customHeight="false" outlineLevel="0" collapsed="false">
      <c r="A330" s="5"/>
      <c r="B330" s="19"/>
      <c r="C330" s="5"/>
      <c r="D330" s="5"/>
      <c r="E330" s="4"/>
      <c r="F330" s="19"/>
      <c r="G330" s="16" t="str">
        <f aca="false">IF($A330="","",SUMIFS('Cash Book'!$D$5:$D$504,'Cash Book'!$G$5:$G$504,$A330))</f>
        <v/>
      </c>
      <c r="H330" s="16" t="str">
        <f aca="false">IF($A330="","",E330-G330)</f>
        <v/>
      </c>
      <c r="I330" s="21" t="str">
        <f aca="true">IF($A330="","",IF(H330&lt;=0,"Paid",IF(F330&lt;TODAY(),"OVERDUE",IF(G330&gt;0,"Part paid","Open"))))</f>
        <v/>
      </c>
      <c r="J330" s="22" t="str">
        <f aca="true">IF($A330="","",IF(AND(H330&gt;0,F330&lt;TODAY()),TODAY()-F330,0))</f>
        <v/>
      </c>
    </row>
    <row r="331" customFormat="false" ht="15" hidden="false" customHeight="false" outlineLevel="0" collapsed="false">
      <c r="A331" s="5"/>
      <c r="B331" s="19"/>
      <c r="C331" s="5"/>
      <c r="D331" s="5"/>
      <c r="E331" s="4"/>
      <c r="F331" s="19"/>
      <c r="G331" s="16" t="str">
        <f aca="false">IF($A331="","",SUMIFS('Cash Book'!$D$5:$D$504,'Cash Book'!$G$5:$G$504,$A331))</f>
        <v/>
      </c>
      <c r="H331" s="16" t="str">
        <f aca="false">IF($A331="","",E331-G331)</f>
        <v/>
      </c>
      <c r="I331" s="21" t="str">
        <f aca="true">IF($A331="","",IF(H331&lt;=0,"Paid",IF(F331&lt;TODAY(),"OVERDUE",IF(G331&gt;0,"Part paid","Open"))))</f>
        <v/>
      </c>
      <c r="J331" s="22" t="str">
        <f aca="true">IF($A331="","",IF(AND(H331&gt;0,F331&lt;TODAY()),TODAY()-F331,0))</f>
        <v/>
      </c>
    </row>
    <row r="332" customFormat="false" ht="15" hidden="false" customHeight="false" outlineLevel="0" collapsed="false">
      <c r="A332" s="5"/>
      <c r="B332" s="19"/>
      <c r="C332" s="5"/>
      <c r="D332" s="5"/>
      <c r="E332" s="4"/>
      <c r="F332" s="19"/>
      <c r="G332" s="16" t="str">
        <f aca="false">IF($A332="","",SUMIFS('Cash Book'!$D$5:$D$504,'Cash Book'!$G$5:$G$504,$A332))</f>
        <v/>
      </c>
      <c r="H332" s="16" t="str">
        <f aca="false">IF($A332="","",E332-G332)</f>
        <v/>
      </c>
      <c r="I332" s="21" t="str">
        <f aca="true">IF($A332="","",IF(H332&lt;=0,"Paid",IF(F332&lt;TODAY(),"OVERDUE",IF(G332&gt;0,"Part paid","Open"))))</f>
        <v/>
      </c>
      <c r="J332" s="22" t="str">
        <f aca="true">IF($A332="","",IF(AND(H332&gt;0,F332&lt;TODAY()),TODAY()-F332,0))</f>
        <v/>
      </c>
    </row>
    <row r="333" customFormat="false" ht="15" hidden="false" customHeight="false" outlineLevel="0" collapsed="false">
      <c r="A333" s="5"/>
      <c r="B333" s="19"/>
      <c r="C333" s="5"/>
      <c r="D333" s="5"/>
      <c r="E333" s="4"/>
      <c r="F333" s="19"/>
      <c r="G333" s="16" t="str">
        <f aca="false">IF($A333="","",SUMIFS('Cash Book'!$D$5:$D$504,'Cash Book'!$G$5:$G$504,$A333))</f>
        <v/>
      </c>
      <c r="H333" s="16" t="str">
        <f aca="false">IF($A333="","",E333-G333)</f>
        <v/>
      </c>
      <c r="I333" s="21" t="str">
        <f aca="true">IF($A333="","",IF(H333&lt;=0,"Paid",IF(F333&lt;TODAY(),"OVERDUE",IF(G333&gt;0,"Part paid","Open"))))</f>
        <v/>
      </c>
      <c r="J333" s="22" t="str">
        <f aca="true">IF($A333="","",IF(AND(H333&gt;0,F333&lt;TODAY()),TODAY()-F333,0))</f>
        <v/>
      </c>
    </row>
    <row r="334" customFormat="false" ht="15" hidden="false" customHeight="false" outlineLevel="0" collapsed="false">
      <c r="A334" s="5"/>
      <c r="B334" s="19"/>
      <c r="C334" s="5"/>
      <c r="D334" s="5"/>
      <c r="E334" s="4"/>
      <c r="F334" s="19"/>
      <c r="G334" s="16" t="str">
        <f aca="false">IF($A334="","",SUMIFS('Cash Book'!$D$5:$D$504,'Cash Book'!$G$5:$G$504,$A334))</f>
        <v/>
      </c>
      <c r="H334" s="16" t="str">
        <f aca="false">IF($A334="","",E334-G334)</f>
        <v/>
      </c>
      <c r="I334" s="21" t="str">
        <f aca="true">IF($A334="","",IF(H334&lt;=0,"Paid",IF(F334&lt;TODAY(),"OVERDUE",IF(G334&gt;0,"Part paid","Open"))))</f>
        <v/>
      </c>
      <c r="J334" s="22" t="str">
        <f aca="true">IF($A334="","",IF(AND(H334&gt;0,F334&lt;TODAY()),TODAY()-F334,0))</f>
        <v/>
      </c>
    </row>
    <row r="335" customFormat="false" ht="15" hidden="false" customHeight="false" outlineLevel="0" collapsed="false">
      <c r="A335" s="5"/>
      <c r="B335" s="19"/>
      <c r="C335" s="5"/>
      <c r="D335" s="5"/>
      <c r="E335" s="4"/>
      <c r="F335" s="19"/>
      <c r="G335" s="16" t="str">
        <f aca="false">IF($A335="","",SUMIFS('Cash Book'!$D$5:$D$504,'Cash Book'!$G$5:$G$504,$A335))</f>
        <v/>
      </c>
      <c r="H335" s="16" t="str">
        <f aca="false">IF($A335="","",E335-G335)</f>
        <v/>
      </c>
      <c r="I335" s="21" t="str">
        <f aca="true">IF($A335="","",IF(H335&lt;=0,"Paid",IF(F335&lt;TODAY(),"OVERDUE",IF(G335&gt;0,"Part paid","Open"))))</f>
        <v/>
      </c>
      <c r="J335" s="22" t="str">
        <f aca="true">IF($A335="","",IF(AND(H335&gt;0,F335&lt;TODAY()),TODAY()-F335,0))</f>
        <v/>
      </c>
    </row>
    <row r="336" customFormat="false" ht="15" hidden="false" customHeight="false" outlineLevel="0" collapsed="false">
      <c r="A336" s="5"/>
      <c r="B336" s="19"/>
      <c r="C336" s="5"/>
      <c r="D336" s="5"/>
      <c r="E336" s="4"/>
      <c r="F336" s="19"/>
      <c r="G336" s="16" t="str">
        <f aca="false">IF($A336="","",SUMIFS('Cash Book'!$D$5:$D$504,'Cash Book'!$G$5:$G$504,$A336))</f>
        <v/>
      </c>
      <c r="H336" s="16" t="str">
        <f aca="false">IF($A336="","",E336-G336)</f>
        <v/>
      </c>
      <c r="I336" s="21" t="str">
        <f aca="true">IF($A336="","",IF(H336&lt;=0,"Paid",IF(F336&lt;TODAY(),"OVERDUE",IF(G336&gt;0,"Part paid","Open"))))</f>
        <v/>
      </c>
      <c r="J336" s="22" t="str">
        <f aca="true">IF($A336="","",IF(AND(H336&gt;0,F336&lt;TODAY()),TODAY()-F336,0))</f>
        <v/>
      </c>
    </row>
    <row r="337" customFormat="false" ht="15" hidden="false" customHeight="false" outlineLevel="0" collapsed="false">
      <c r="A337" s="5"/>
      <c r="B337" s="19"/>
      <c r="C337" s="5"/>
      <c r="D337" s="5"/>
      <c r="E337" s="4"/>
      <c r="F337" s="19"/>
      <c r="G337" s="16" t="str">
        <f aca="false">IF($A337="","",SUMIFS('Cash Book'!$D$5:$D$504,'Cash Book'!$G$5:$G$504,$A337))</f>
        <v/>
      </c>
      <c r="H337" s="16" t="str">
        <f aca="false">IF($A337="","",E337-G337)</f>
        <v/>
      </c>
      <c r="I337" s="21" t="str">
        <f aca="true">IF($A337="","",IF(H337&lt;=0,"Paid",IF(F337&lt;TODAY(),"OVERDUE",IF(G337&gt;0,"Part paid","Open"))))</f>
        <v/>
      </c>
      <c r="J337" s="22" t="str">
        <f aca="true">IF($A337="","",IF(AND(H337&gt;0,F337&lt;TODAY()),TODAY()-F337,0))</f>
        <v/>
      </c>
    </row>
    <row r="338" customFormat="false" ht="15" hidden="false" customHeight="false" outlineLevel="0" collapsed="false">
      <c r="A338" s="5"/>
      <c r="B338" s="19"/>
      <c r="C338" s="5"/>
      <c r="D338" s="5"/>
      <c r="E338" s="4"/>
      <c r="F338" s="19"/>
      <c r="G338" s="16" t="str">
        <f aca="false">IF($A338="","",SUMIFS('Cash Book'!$D$5:$D$504,'Cash Book'!$G$5:$G$504,$A338))</f>
        <v/>
      </c>
      <c r="H338" s="16" t="str">
        <f aca="false">IF($A338="","",E338-G338)</f>
        <v/>
      </c>
      <c r="I338" s="21" t="str">
        <f aca="true">IF($A338="","",IF(H338&lt;=0,"Paid",IF(F338&lt;TODAY(),"OVERDUE",IF(G338&gt;0,"Part paid","Open"))))</f>
        <v/>
      </c>
      <c r="J338" s="22" t="str">
        <f aca="true">IF($A338="","",IF(AND(H338&gt;0,F338&lt;TODAY()),TODAY()-F338,0))</f>
        <v/>
      </c>
    </row>
    <row r="339" customFormat="false" ht="15" hidden="false" customHeight="false" outlineLevel="0" collapsed="false">
      <c r="A339" s="5"/>
      <c r="B339" s="19"/>
      <c r="C339" s="5"/>
      <c r="D339" s="5"/>
      <c r="E339" s="4"/>
      <c r="F339" s="19"/>
      <c r="G339" s="16" t="str">
        <f aca="false">IF($A339="","",SUMIFS('Cash Book'!$D$5:$D$504,'Cash Book'!$G$5:$G$504,$A339))</f>
        <v/>
      </c>
      <c r="H339" s="16" t="str">
        <f aca="false">IF($A339="","",E339-G339)</f>
        <v/>
      </c>
      <c r="I339" s="21" t="str">
        <f aca="true">IF($A339="","",IF(H339&lt;=0,"Paid",IF(F339&lt;TODAY(),"OVERDUE",IF(G339&gt;0,"Part paid","Open"))))</f>
        <v/>
      </c>
      <c r="J339" s="22" t="str">
        <f aca="true">IF($A339="","",IF(AND(H339&gt;0,F339&lt;TODAY()),TODAY()-F339,0))</f>
        <v/>
      </c>
    </row>
    <row r="340" customFormat="false" ht="15" hidden="false" customHeight="false" outlineLevel="0" collapsed="false">
      <c r="A340" s="5"/>
      <c r="B340" s="19"/>
      <c r="C340" s="5"/>
      <c r="D340" s="5"/>
      <c r="E340" s="4"/>
      <c r="F340" s="19"/>
      <c r="G340" s="16" t="str">
        <f aca="false">IF($A340="","",SUMIFS('Cash Book'!$D$5:$D$504,'Cash Book'!$G$5:$G$504,$A340))</f>
        <v/>
      </c>
      <c r="H340" s="16" t="str">
        <f aca="false">IF($A340="","",E340-G340)</f>
        <v/>
      </c>
      <c r="I340" s="21" t="str">
        <f aca="true">IF($A340="","",IF(H340&lt;=0,"Paid",IF(F340&lt;TODAY(),"OVERDUE",IF(G340&gt;0,"Part paid","Open"))))</f>
        <v/>
      </c>
      <c r="J340" s="22" t="str">
        <f aca="true">IF($A340="","",IF(AND(H340&gt;0,F340&lt;TODAY()),TODAY()-F340,0))</f>
        <v/>
      </c>
    </row>
    <row r="341" customFormat="false" ht="15" hidden="false" customHeight="false" outlineLevel="0" collapsed="false">
      <c r="A341" s="5"/>
      <c r="B341" s="19"/>
      <c r="C341" s="5"/>
      <c r="D341" s="5"/>
      <c r="E341" s="4"/>
      <c r="F341" s="19"/>
      <c r="G341" s="16" t="str">
        <f aca="false">IF($A341="","",SUMIFS('Cash Book'!$D$5:$D$504,'Cash Book'!$G$5:$G$504,$A341))</f>
        <v/>
      </c>
      <c r="H341" s="16" t="str">
        <f aca="false">IF($A341="","",E341-G341)</f>
        <v/>
      </c>
      <c r="I341" s="21" t="str">
        <f aca="true">IF($A341="","",IF(H341&lt;=0,"Paid",IF(F341&lt;TODAY(),"OVERDUE",IF(G341&gt;0,"Part paid","Open"))))</f>
        <v/>
      </c>
      <c r="J341" s="22" t="str">
        <f aca="true">IF($A341="","",IF(AND(H341&gt;0,F341&lt;TODAY()),TODAY()-F341,0))</f>
        <v/>
      </c>
    </row>
    <row r="342" customFormat="false" ht="15" hidden="false" customHeight="false" outlineLevel="0" collapsed="false">
      <c r="A342" s="5"/>
      <c r="B342" s="19"/>
      <c r="C342" s="5"/>
      <c r="D342" s="5"/>
      <c r="E342" s="4"/>
      <c r="F342" s="19"/>
      <c r="G342" s="16" t="str">
        <f aca="false">IF($A342="","",SUMIFS('Cash Book'!$D$5:$D$504,'Cash Book'!$G$5:$G$504,$A342))</f>
        <v/>
      </c>
      <c r="H342" s="16" t="str">
        <f aca="false">IF($A342="","",E342-G342)</f>
        <v/>
      </c>
      <c r="I342" s="21" t="str">
        <f aca="true">IF($A342="","",IF(H342&lt;=0,"Paid",IF(F342&lt;TODAY(),"OVERDUE",IF(G342&gt;0,"Part paid","Open"))))</f>
        <v/>
      </c>
      <c r="J342" s="22" t="str">
        <f aca="true">IF($A342="","",IF(AND(H342&gt;0,F342&lt;TODAY()),TODAY()-F342,0))</f>
        <v/>
      </c>
    </row>
    <row r="343" customFormat="false" ht="15" hidden="false" customHeight="false" outlineLevel="0" collapsed="false">
      <c r="A343" s="5"/>
      <c r="B343" s="19"/>
      <c r="C343" s="5"/>
      <c r="D343" s="5"/>
      <c r="E343" s="4"/>
      <c r="F343" s="19"/>
      <c r="G343" s="16" t="str">
        <f aca="false">IF($A343="","",SUMIFS('Cash Book'!$D$5:$D$504,'Cash Book'!$G$5:$G$504,$A343))</f>
        <v/>
      </c>
      <c r="H343" s="16" t="str">
        <f aca="false">IF($A343="","",E343-G343)</f>
        <v/>
      </c>
      <c r="I343" s="21" t="str">
        <f aca="true">IF($A343="","",IF(H343&lt;=0,"Paid",IF(F343&lt;TODAY(),"OVERDUE",IF(G343&gt;0,"Part paid","Open"))))</f>
        <v/>
      </c>
      <c r="J343" s="22" t="str">
        <f aca="true">IF($A343="","",IF(AND(H343&gt;0,F343&lt;TODAY()),TODAY()-F343,0))</f>
        <v/>
      </c>
    </row>
    <row r="344" customFormat="false" ht="15" hidden="false" customHeight="false" outlineLevel="0" collapsed="false">
      <c r="A344" s="5"/>
      <c r="B344" s="19"/>
      <c r="C344" s="5"/>
      <c r="D344" s="5"/>
      <c r="E344" s="4"/>
      <c r="F344" s="19"/>
      <c r="G344" s="16" t="str">
        <f aca="false">IF($A344="","",SUMIFS('Cash Book'!$D$5:$D$504,'Cash Book'!$G$5:$G$504,$A344))</f>
        <v/>
      </c>
      <c r="H344" s="16" t="str">
        <f aca="false">IF($A344="","",E344-G344)</f>
        <v/>
      </c>
      <c r="I344" s="21" t="str">
        <f aca="true">IF($A344="","",IF(H344&lt;=0,"Paid",IF(F344&lt;TODAY(),"OVERDUE",IF(G344&gt;0,"Part paid","Open"))))</f>
        <v/>
      </c>
      <c r="J344" s="22" t="str">
        <f aca="true">IF($A344="","",IF(AND(H344&gt;0,F344&lt;TODAY()),TODAY()-F344,0))</f>
        <v/>
      </c>
    </row>
    <row r="345" customFormat="false" ht="15" hidden="false" customHeight="false" outlineLevel="0" collapsed="false">
      <c r="A345" s="5"/>
      <c r="B345" s="19"/>
      <c r="C345" s="5"/>
      <c r="D345" s="5"/>
      <c r="E345" s="4"/>
      <c r="F345" s="19"/>
      <c r="G345" s="16" t="str">
        <f aca="false">IF($A345="","",SUMIFS('Cash Book'!$D$5:$D$504,'Cash Book'!$G$5:$G$504,$A345))</f>
        <v/>
      </c>
      <c r="H345" s="16" t="str">
        <f aca="false">IF($A345="","",E345-G345)</f>
        <v/>
      </c>
      <c r="I345" s="21" t="str">
        <f aca="true">IF($A345="","",IF(H345&lt;=0,"Paid",IF(F345&lt;TODAY(),"OVERDUE",IF(G345&gt;0,"Part paid","Open"))))</f>
        <v/>
      </c>
      <c r="J345" s="22" t="str">
        <f aca="true">IF($A345="","",IF(AND(H345&gt;0,F345&lt;TODAY()),TODAY()-F345,0))</f>
        <v/>
      </c>
    </row>
    <row r="346" customFormat="false" ht="15" hidden="false" customHeight="false" outlineLevel="0" collapsed="false">
      <c r="A346" s="5"/>
      <c r="B346" s="19"/>
      <c r="C346" s="5"/>
      <c r="D346" s="5"/>
      <c r="E346" s="4"/>
      <c r="F346" s="19"/>
      <c r="G346" s="16" t="str">
        <f aca="false">IF($A346="","",SUMIFS('Cash Book'!$D$5:$D$504,'Cash Book'!$G$5:$G$504,$A346))</f>
        <v/>
      </c>
      <c r="H346" s="16" t="str">
        <f aca="false">IF($A346="","",E346-G346)</f>
        <v/>
      </c>
      <c r="I346" s="21" t="str">
        <f aca="true">IF($A346="","",IF(H346&lt;=0,"Paid",IF(F346&lt;TODAY(),"OVERDUE",IF(G346&gt;0,"Part paid","Open"))))</f>
        <v/>
      </c>
      <c r="J346" s="22" t="str">
        <f aca="true">IF($A346="","",IF(AND(H346&gt;0,F346&lt;TODAY()),TODAY()-F346,0))</f>
        <v/>
      </c>
    </row>
    <row r="347" customFormat="false" ht="15" hidden="false" customHeight="false" outlineLevel="0" collapsed="false">
      <c r="A347" s="5"/>
      <c r="B347" s="19"/>
      <c r="C347" s="5"/>
      <c r="D347" s="5"/>
      <c r="E347" s="4"/>
      <c r="F347" s="19"/>
      <c r="G347" s="16" t="str">
        <f aca="false">IF($A347="","",SUMIFS('Cash Book'!$D$5:$D$504,'Cash Book'!$G$5:$G$504,$A347))</f>
        <v/>
      </c>
      <c r="H347" s="16" t="str">
        <f aca="false">IF($A347="","",E347-G347)</f>
        <v/>
      </c>
      <c r="I347" s="21" t="str">
        <f aca="true">IF($A347="","",IF(H347&lt;=0,"Paid",IF(F347&lt;TODAY(),"OVERDUE",IF(G347&gt;0,"Part paid","Open"))))</f>
        <v/>
      </c>
      <c r="J347" s="22" t="str">
        <f aca="true">IF($A347="","",IF(AND(H347&gt;0,F347&lt;TODAY()),TODAY()-F347,0))</f>
        <v/>
      </c>
    </row>
    <row r="348" customFormat="false" ht="15" hidden="false" customHeight="false" outlineLevel="0" collapsed="false">
      <c r="A348" s="5"/>
      <c r="B348" s="19"/>
      <c r="C348" s="5"/>
      <c r="D348" s="5"/>
      <c r="E348" s="4"/>
      <c r="F348" s="19"/>
      <c r="G348" s="16" t="str">
        <f aca="false">IF($A348="","",SUMIFS('Cash Book'!$D$5:$D$504,'Cash Book'!$G$5:$G$504,$A348))</f>
        <v/>
      </c>
      <c r="H348" s="16" t="str">
        <f aca="false">IF($A348="","",E348-G348)</f>
        <v/>
      </c>
      <c r="I348" s="21" t="str">
        <f aca="true">IF($A348="","",IF(H348&lt;=0,"Paid",IF(F348&lt;TODAY(),"OVERDUE",IF(G348&gt;0,"Part paid","Open"))))</f>
        <v/>
      </c>
      <c r="J348" s="22" t="str">
        <f aca="true">IF($A348="","",IF(AND(H348&gt;0,F348&lt;TODAY()),TODAY()-F348,0))</f>
        <v/>
      </c>
    </row>
    <row r="349" customFormat="false" ht="15" hidden="false" customHeight="false" outlineLevel="0" collapsed="false">
      <c r="A349" s="5"/>
      <c r="B349" s="19"/>
      <c r="C349" s="5"/>
      <c r="D349" s="5"/>
      <c r="E349" s="4"/>
      <c r="F349" s="19"/>
      <c r="G349" s="16" t="str">
        <f aca="false">IF($A349="","",SUMIFS('Cash Book'!$D$5:$D$504,'Cash Book'!$G$5:$G$504,$A349))</f>
        <v/>
      </c>
      <c r="H349" s="16" t="str">
        <f aca="false">IF($A349="","",E349-G349)</f>
        <v/>
      </c>
      <c r="I349" s="21" t="str">
        <f aca="true">IF($A349="","",IF(H349&lt;=0,"Paid",IF(F349&lt;TODAY(),"OVERDUE",IF(G349&gt;0,"Part paid","Open"))))</f>
        <v/>
      </c>
      <c r="J349" s="22" t="str">
        <f aca="true">IF($A349="","",IF(AND(H349&gt;0,F349&lt;TODAY()),TODAY()-F349,0))</f>
        <v/>
      </c>
    </row>
    <row r="350" customFormat="false" ht="15" hidden="false" customHeight="false" outlineLevel="0" collapsed="false">
      <c r="A350" s="5"/>
      <c r="B350" s="19"/>
      <c r="C350" s="5"/>
      <c r="D350" s="5"/>
      <c r="E350" s="4"/>
      <c r="F350" s="19"/>
      <c r="G350" s="16" t="str">
        <f aca="false">IF($A350="","",SUMIFS('Cash Book'!$D$5:$D$504,'Cash Book'!$G$5:$G$504,$A350))</f>
        <v/>
      </c>
      <c r="H350" s="16" t="str">
        <f aca="false">IF($A350="","",E350-G350)</f>
        <v/>
      </c>
      <c r="I350" s="21" t="str">
        <f aca="true">IF($A350="","",IF(H350&lt;=0,"Paid",IF(F350&lt;TODAY(),"OVERDUE",IF(G350&gt;0,"Part paid","Open"))))</f>
        <v/>
      </c>
      <c r="J350" s="22" t="str">
        <f aca="true">IF($A350="","",IF(AND(H350&gt;0,F350&lt;TODAY()),TODAY()-F350,0))</f>
        <v/>
      </c>
    </row>
    <row r="351" customFormat="false" ht="15" hidden="false" customHeight="false" outlineLevel="0" collapsed="false">
      <c r="A351" s="5"/>
      <c r="B351" s="19"/>
      <c r="C351" s="5"/>
      <c r="D351" s="5"/>
      <c r="E351" s="4"/>
      <c r="F351" s="19"/>
      <c r="G351" s="16" t="str">
        <f aca="false">IF($A351="","",SUMIFS('Cash Book'!$D$5:$D$504,'Cash Book'!$G$5:$G$504,$A351))</f>
        <v/>
      </c>
      <c r="H351" s="16" t="str">
        <f aca="false">IF($A351="","",E351-G351)</f>
        <v/>
      </c>
      <c r="I351" s="21" t="str">
        <f aca="true">IF($A351="","",IF(H351&lt;=0,"Paid",IF(F351&lt;TODAY(),"OVERDUE",IF(G351&gt;0,"Part paid","Open"))))</f>
        <v/>
      </c>
      <c r="J351" s="22" t="str">
        <f aca="true">IF($A351="","",IF(AND(H351&gt;0,F351&lt;TODAY()),TODAY()-F351,0))</f>
        <v/>
      </c>
    </row>
    <row r="352" customFormat="false" ht="15" hidden="false" customHeight="false" outlineLevel="0" collapsed="false">
      <c r="A352" s="5"/>
      <c r="B352" s="19"/>
      <c r="C352" s="5"/>
      <c r="D352" s="5"/>
      <c r="E352" s="4"/>
      <c r="F352" s="19"/>
      <c r="G352" s="16" t="str">
        <f aca="false">IF($A352="","",SUMIFS('Cash Book'!$D$5:$D$504,'Cash Book'!$G$5:$G$504,$A352))</f>
        <v/>
      </c>
      <c r="H352" s="16" t="str">
        <f aca="false">IF($A352="","",E352-G352)</f>
        <v/>
      </c>
      <c r="I352" s="21" t="str">
        <f aca="true">IF($A352="","",IF(H352&lt;=0,"Paid",IF(F352&lt;TODAY(),"OVERDUE",IF(G352&gt;0,"Part paid","Open"))))</f>
        <v/>
      </c>
      <c r="J352" s="22" t="str">
        <f aca="true">IF($A352="","",IF(AND(H352&gt;0,F352&lt;TODAY()),TODAY()-F352,0))</f>
        <v/>
      </c>
    </row>
    <row r="353" customFormat="false" ht="15" hidden="false" customHeight="false" outlineLevel="0" collapsed="false">
      <c r="A353" s="5"/>
      <c r="B353" s="19"/>
      <c r="C353" s="5"/>
      <c r="D353" s="5"/>
      <c r="E353" s="4"/>
      <c r="F353" s="19"/>
      <c r="G353" s="16" t="str">
        <f aca="false">IF($A353="","",SUMIFS('Cash Book'!$D$5:$D$504,'Cash Book'!$G$5:$G$504,$A353))</f>
        <v/>
      </c>
      <c r="H353" s="16" t="str">
        <f aca="false">IF($A353="","",E353-G353)</f>
        <v/>
      </c>
      <c r="I353" s="21" t="str">
        <f aca="true">IF($A353="","",IF(H353&lt;=0,"Paid",IF(F353&lt;TODAY(),"OVERDUE",IF(G353&gt;0,"Part paid","Open"))))</f>
        <v/>
      </c>
      <c r="J353" s="22" t="str">
        <f aca="true">IF($A353="","",IF(AND(H353&gt;0,F353&lt;TODAY()),TODAY()-F353,0))</f>
        <v/>
      </c>
    </row>
    <row r="354" customFormat="false" ht="15" hidden="false" customHeight="false" outlineLevel="0" collapsed="false">
      <c r="A354" s="5"/>
      <c r="B354" s="19"/>
      <c r="C354" s="5"/>
      <c r="D354" s="5"/>
      <c r="E354" s="4"/>
      <c r="F354" s="19"/>
      <c r="G354" s="16" t="str">
        <f aca="false">IF($A354="","",SUMIFS('Cash Book'!$D$5:$D$504,'Cash Book'!$G$5:$G$504,$A354))</f>
        <v/>
      </c>
      <c r="H354" s="16" t="str">
        <f aca="false">IF($A354="","",E354-G354)</f>
        <v/>
      </c>
      <c r="I354" s="21" t="str">
        <f aca="true">IF($A354="","",IF(H354&lt;=0,"Paid",IF(F354&lt;TODAY(),"OVERDUE",IF(G354&gt;0,"Part paid","Open"))))</f>
        <v/>
      </c>
      <c r="J354" s="22" t="str">
        <f aca="true">IF($A354="","",IF(AND(H354&gt;0,F354&lt;TODAY()),TODAY()-F354,0))</f>
        <v/>
      </c>
    </row>
    <row r="355" customFormat="false" ht="15" hidden="false" customHeight="false" outlineLevel="0" collapsed="false">
      <c r="A355" s="5"/>
      <c r="B355" s="19"/>
      <c r="C355" s="5"/>
      <c r="D355" s="5"/>
      <c r="E355" s="4"/>
      <c r="F355" s="19"/>
      <c r="G355" s="16" t="str">
        <f aca="false">IF($A355="","",SUMIFS('Cash Book'!$D$5:$D$504,'Cash Book'!$G$5:$G$504,$A355))</f>
        <v/>
      </c>
      <c r="H355" s="16" t="str">
        <f aca="false">IF($A355="","",E355-G355)</f>
        <v/>
      </c>
      <c r="I355" s="21" t="str">
        <f aca="true">IF($A355="","",IF(H355&lt;=0,"Paid",IF(F355&lt;TODAY(),"OVERDUE",IF(G355&gt;0,"Part paid","Open"))))</f>
        <v/>
      </c>
      <c r="J355" s="22" t="str">
        <f aca="true">IF($A355="","",IF(AND(H355&gt;0,F355&lt;TODAY()),TODAY()-F355,0))</f>
        <v/>
      </c>
    </row>
    <row r="356" customFormat="false" ht="15" hidden="false" customHeight="false" outlineLevel="0" collapsed="false">
      <c r="A356" s="5"/>
      <c r="B356" s="19"/>
      <c r="C356" s="5"/>
      <c r="D356" s="5"/>
      <c r="E356" s="4"/>
      <c r="F356" s="19"/>
      <c r="G356" s="16" t="str">
        <f aca="false">IF($A356="","",SUMIFS('Cash Book'!$D$5:$D$504,'Cash Book'!$G$5:$G$504,$A356))</f>
        <v/>
      </c>
      <c r="H356" s="16" t="str">
        <f aca="false">IF($A356="","",E356-G356)</f>
        <v/>
      </c>
      <c r="I356" s="21" t="str">
        <f aca="true">IF($A356="","",IF(H356&lt;=0,"Paid",IF(F356&lt;TODAY(),"OVERDUE",IF(G356&gt;0,"Part paid","Open"))))</f>
        <v/>
      </c>
      <c r="J356" s="22" t="str">
        <f aca="true">IF($A356="","",IF(AND(H356&gt;0,F356&lt;TODAY()),TODAY()-F356,0))</f>
        <v/>
      </c>
    </row>
    <row r="357" customFormat="false" ht="15" hidden="false" customHeight="false" outlineLevel="0" collapsed="false">
      <c r="A357" s="5"/>
      <c r="B357" s="19"/>
      <c r="C357" s="5"/>
      <c r="D357" s="5"/>
      <c r="E357" s="4"/>
      <c r="F357" s="19"/>
      <c r="G357" s="16" t="str">
        <f aca="false">IF($A357="","",SUMIFS('Cash Book'!$D$5:$D$504,'Cash Book'!$G$5:$G$504,$A357))</f>
        <v/>
      </c>
      <c r="H357" s="16" t="str">
        <f aca="false">IF($A357="","",E357-G357)</f>
        <v/>
      </c>
      <c r="I357" s="21" t="str">
        <f aca="true">IF($A357="","",IF(H357&lt;=0,"Paid",IF(F357&lt;TODAY(),"OVERDUE",IF(G357&gt;0,"Part paid","Open"))))</f>
        <v/>
      </c>
      <c r="J357" s="22" t="str">
        <f aca="true">IF($A357="","",IF(AND(H357&gt;0,F357&lt;TODAY()),TODAY()-F357,0))</f>
        <v/>
      </c>
    </row>
    <row r="358" customFormat="false" ht="15" hidden="false" customHeight="false" outlineLevel="0" collapsed="false">
      <c r="A358" s="5"/>
      <c r="B358" s="19"/>
      <c r="C358" s="5"/>
      <c r="D358" s="5"/>
      <c r="E358" s="4"/>
      <c r="F358" s="19"/>
      <c r="G358" s="16" t="str">
        <f aca="false">IF($A358="","",SUMIFS('Cash Book'!$D$5:$D$504,'Cash Book'!$G$5:$G$504,$A358))</f>
        <v/>
      </c>
      <c r="H358" s="16" t="str">
        <f aca="false">IF($A358="","",E358-G358)</f>
        <v/>
      </c>
      <c r="I358" s="21" t="str">
        <f aca="true">IF($A358="","",IF(H358&lt;=0,"Paid",IF(F358&lt;TODAY(),"OVERDUE",IF(G358&gt;0,"Part paid","Open"))))</f>
        <v/>
      </c>
      <c r="J358" s="22" t="str">
        <f aca="true">IF($A358="","",IF(AND(H358&gt;0,F358&lt;TODAY()),TODAY()-F358,0))</f>
        <v/>
      </c>
    </row>
    <row r="359" customFormat="false" ht="15" hidden="false" customHeight="false" outlineLevel="0" collapsed="false">
      <c r="A359" s="5"/>
      <c r="B359" s="19"/>
      <c r="C359" s="5"/>
      <c r="D359" s="5"/>
      <c r="E359" s="4"/>
      <c r="F359" s="19"/>
      <c r="G359" s="16" t="str">
        <f aca="false">IF($A359="","",SUMIFS('Cash Book'!$D$5:$D$504,'Cash Book'!$G$5:$G$504,$A359))</f>
        <v/>
      </c>
      <c r="H359" s="16" t="str">
        <f aca="false">IF($A359="","",E359-G359)</f>
        <v/>
      </c>
      <c r="I359" s="21" t="str">
        <f aca="true">IF($A359="","",IF(H359&lt;=0,"Paid",IF(F359&lt;TODAY(),"OVERDUE",IF(G359&gt;0,"Part paid","Open"))))</f>
        <v/>
      </c>
      <c r="J359" s="22" t="str">
        <f aca="true">IF($A359="","",IF(AND(H359&gt;0,F359&lt;TODAY()),TODAY()-F359,0))</f>
        <v/>
      </c>
    </row>
    <row r="360" customFormat="false" ht="15" hidden="false" customHeight="false" outlineLevel="0" collapsed="false">
      <c r="A360" s="5"/>
      <c r="B360" s="19"/>
      <c r="C360" s="5"/>
      <c r="D360" s="5"/>
      <c r="E360" s="4"/>
      <c r="F360" s="19"/>
      <c r="G360" s="16" t="str">
        <f aca="false">IF($A360="","",SUMIFS('Cash Book'!$D$5:$D$504,'Cash Book'!$G$5:$G$504,$A360))</f>
        <v/>
      </c>
      <c r="H360" s="16" t="str">
        <f aca="false">IF($A360="","",E360-G360)</f>
        <v/>
      </c>
      <c r="I360" s="21" t="str">
        <f aca="true">IF($A360="","",IF(H360&lt;=0,"Paid",IF(F360&lt;TODAY(),"OVERDUE",IF(G360&gt;0,"Part paid","Open"))))</f>
        <v/>
      </c>
      <c r="J360" s="22" t="str">
        <f aca="true">IF($A360="","",IF(AND(H360&gt;0,F360&lt;TODAY()),TODAY()-F360,0))</f>
        <v/>
      </c>
    </row>
    <row r="361" customFormat="false" ht="15" hidden="false" customHeight="false" outlineLevel="0" collapsed="false">
      <c r="A361" s="5"/>
      <c r="B361" s="19"/>
      <c r="C361" s="5"/>
      <c r="D361" s="5"/>
      <c r="E361" s="4"/>
      <c r="F361" s="19"/>
      <c r="G361" s="16" t="str">
        <f aca="false">IF($A361="","",SUMIFS('Cash Book'!$D$5:$D$504,'Cash Book'!$G$5:$G$504,$A361))</f>
        <v/>
      </c>
      <c r="H361" s="16" t="str">
        <f aca="false">IF($A361="","",E361-G361)</f>
        <v/>
      </c>
      <c r="I361" s="21" t="str">
        <f aca="true">IF($A361="","",IF(H361&lt;=0,"Paid",IF(F361&lt;TODAY(),"OVERDUE",IF(G361&gt;0,"Part paid","Open"))))</f>
        <v/>
      </c>
      <c r="J361" s="22" t="str">
        <f aca="true">IF($A361="","",IF(AND(H361&gt;0,F361&lt;TODAY()),TODAY()-F361,0))</f>
        <v/>
      </c>
    </row>
    <row r="362" customFormat="false" ht="15" hidden="false" customHeight="false" outlineLevel="0" collapsed="false">
      <c r="A362" s="5"/>
      <c r="B362" s="19"/>
      <c r="C362" s="5"/>
      <c r="D362" s="5"/>
      <c r="E362" s="4"/>
      <c r="F362" s="19"/>
      <c r="G362" s="16" t="str">
        <f aca="false">IF($A362="","",SUMIFS('Cash Book'!$D$5:$D$504,'Cash Book'!$G$5:$G$504,$A362))</f>
        <v/>
      </c>
      <c r="H362" s="16" t="str">
        <f aca="false">IF($A362="","",E362-G362)</f>
        <v/>
      </c>
      <c r="I362" s="21" t="str">
        <f aca="true">IF($A362="","",IF(H362&lt;=0,"Paid",IF(F362&lt;TODAY(),"OVERDUE",IF(G362&gt;0,"Part paid","Open"))))</f>
        <v/>
      </c>
      <c r="J362" s="22" t="str">
        <f aca="true">IF($A362="","",IF(AND(H362&gt;0,F362&lt;TODAY()),TODAY()-F362,0))</f>
        <v/>
      </c>
    </row>
    <row r="363" customFormat="false" ht="15" hidden="false" customHeight="false" outlineLevel="0" collapsed="false">
      <c r="A363" s="5"/>
      <c r="B363" s="19"/>
      <c r="C363" s="5"/>
      <c r="D363" s="5"/>
      <c r="E363" s="4"/>
      <c r="F363" s="19"/>
      <c r="G363" s="16" t="str">
        <f aca="false">IF($A363="","",SUMIFS('Cash Book'!$D$5:$D$504,'Cash Book'!$G$5:$G$504,$A363))</f>
        <v/>
      </c>
      <c r="H363" s="16" t="str">
        <f aca="false">IF($A363="","",E363-G363)</f>
        <v/>
      </c>
      <c r="I363" s="21" t="str">
        <f aca="true">IF($A363="","",IF(H363&lt;=0,"Paid",IF(F363&lt;TODAY(),"OVERDUE",IF(G363&gt;0,"Part paid","Open"))))</f>
        <v/>
      </c>
      <c r="J363" s="22" t="str">
        <f aca="true">IF($A363="","",IF(AND(H363&gt;0,F363&lt;TODAY()),TODAY()-F363,0))</f>
        <v/>
      </c>
    </row>
    <row r="364" customFormat="false" ht="15" hidden="false" customHeight="false" outlineLevel="0" collapsed="false">
      <c r="A364" s="5"/>
      <c r="B364" s="19"/>
      <c r="C364" s="5"/>
      <c r="D364" s="5"/>
      <c r="E364" s="4"/>
      <c r="F364" s="19"/>
      <c r="G364" s="16" t="str">
        <f aca="false">IF($A364="","",SUMIFS('Cash Book'!$D$5:$D$504,'Cash Book'!$G$5:$G$504,$A364))</f>
        <v/>
      </c>
      <c r="H364" s="16" t="str">
        <f aca="false">IF($A364="","",E364-G364)</f>
        <v/>
      </c>
      <c r="I364" s="21" t="str">
        <f aca="true">IF($A364="","",IF(H364&lt;=0,"Paid",IF(F364&lt;TODAY(),"OVERDUE",IF(G364&gt;0,"Part paid","Open"))))</f>
        <v/>
      </c>
      <c r="J364" s="22" t="str">
        <f aca="true">IF($A364="","",IF(AND(H364&gt;0,F364&lt;TODAY()),TODAY()-F364,0))</f>
        <v/>
      </c>
    </row>
    <row r="365" customFormat="false" ht="15" hidden="false" customHeight="false" outlineLevel="0" collapsed="false">
      <c r="A365" s="5"/>
      <c r="B365" s="19"/>
      <c r="C365" s="5"/>
      <c r="D365" s="5"/>
      <c r="E365" s="4"/>
      <c r="F365" s="19"/>
      <c r="G365" s="16" t="str">
        <f aca="false">IF($A365="","",SUMIFS('Cash Book'!$D$5:$D$504,'Cash Book'!$G$5:$G$504,$A365))</f>
        <v/>
      </c>
      <c r="H365" s="16" t="str">
        <f aca="false">IF($A365="","",E365-G365)</f>
        <v/>
      </c>
      <c r="I365" s="21" t="str">
        <f aca="true">IF($A365="","",IF(H365&lt;=0,"Paid",IF(F365&lt;TODAY(),"OVERDUE",IF(G365&gt;0,"Part paid","Open"))))</f>
        <v/>
      </c>
      <c r="J365" s="22" t="str">
        <f aca="true">IF($A365="","",IF(AND(H365&gt;0,F365&lt;TODAY()),TODAY()-F365,0))</f>
        <v/>
      </c>
    </row>
    <row r="366" customFormat="false" ht="15" hidden="false" customHeight="false" outlineLevel="0" collapsed="false">
      <c r="A366" s="5"/>
      <c r="B366" s="19"/>
      <c r="C366" s="5"/>
      <c r="D366" s="5"/>
      <c r="E366" s="4"/>
      <c r="F366" s="19"/>
      <c r="G366" s="16" t="str">
        <f aca="false">IF($A366="","",SUMIFS('Cash Book'!$D$5:$D$504,'Cash Book'!$G$5:$G$504,$A366))</f>
        <v/>
      </c>
      <c r="H366" s="16" t="str">
        <f aca="false">IF($A366="","",E366-G366)</f>
        <v/>
      </c>
      <c r="I366" s="21" t="str">
        <f aca="true">IF($A366="","",IF(H366&lt;=0,"Paid",IF(F366&lt;TODAY(),"OVERDUE",IF(G366&gt;0,"Part paid","Open"))))</f>
        <v/>
      </c>
      <c r="J366" s="22" t="str">
        <f aca="true">IF($A366="","",IF(AND(H366&gt;0,F366&lt;TODAY()),TODAY()-F366,0))</f>
        <v/>
      </c>
    </row>
    <row r="367" customFormat="false" ht="15" hidden="false" customHeight="false" outlineLevel="0" collapsed="false">
      <c r="A367" s="5"/>
      <c r="B367" s="19"/>
      <c r="C367" s="5"/>
      <c r="D367" s="5"/>
      <c r="E367" s="4"/>
      <c r="F367" s="19"/>
      <c r="G367" s="16" t="str">
        <f aca="false">IF($A367="","",SUMIFS('Cash Book'!$D$5:$D$504,'Cash Book'!$G$5:$G$504,$A367))</f>
        <v/>
      </c>
      <c r="H367" s="16" t="str">
        <f aca="false">IF($A367="","",E367-G367)</f>
        <v/>
      </c>
      <c r="I367" s="21" t="str">
        <f aca="true">IF($A367="","",IF(H367&lt;=0,"Paid",IF(F367&lt;TODAY(),"OVERDUE",IF(G367&gt;0,"Part paid","Open"))))</f>
        <v/>
      </c>
      <c r="J367" s="22" t="str">
        <f aca="true">IF($A367="","",IF(AND(H367&gt;0,F367&lt;TODAY()),TODAY()-F367,0))</f>
        <v/>
      </c>
    </row>
    <row r="368" customFormat="false" ht="15" hidden="false" customHeight="false" outlineLevel="0" collapsed="false">
      <c r="A368" s="5"/>
      <c r="B368" s="19"/>
      <c r="C368" s="5"/>
      <c r="D368" s="5"/>
      <c r="E368" s="4"/>
      <c r="F368" s="19"/>
      <c r="G368" s="16" t="str">
        <f aca="false">IF($A368="","",SUMIFS('Cash Book'!$D$5:$D$504,'Cash Book'!$G$5:$G$504,$A368))</f>
        <v/>
      </c>
      <c r="H368" s="16" t="str">
        <f aca="false">IF($A368="","",E368-G368)</f>
        <v/>
      </c>
      <c r="I368" s="21" t="str">
        <f aca="true">IF($A368="","",IF(H368&lt;=0,"Paid",IF(F368&lt;TODAY(),"OVERDUE",IF(G368&gt;0,"Part paid","Open"))))</f>
        <v/>
      </c>
      <c r="J368" s="22" t="str">
        <f aca="true">IF($A368="","",IF(AND(H368&gt;0,F368&lt;TODAY()),TODAY()-F368,0))</f>
        <v/>
      </c>
    </row>
    <row r="369" customFormat="false" ht="15" hidden="false" customHeight="false" outlineLevel="0" collapsed="false">
      <c r="A369" s="5"/>
      <c r="B369" s="19"/>
      <c r="C369" s="5"/>
      <c r="D369" s="5"/>
      <c r="E369" s="4"/>
      <c r="F369" s="19"/>
      <c r="G369" s="16" t="str">
        <f aca="false">IF($A369="","",SUMIFS('Cash Book'!$D$5:$D$504,'Cash Book'!$G$5:$G$504,$A369))</f>
        <v/>
      </c>
      <c r="H369" s="16" t="str">
        <f aca="false">IF($A369="","",E369-G369)</f>
        <v/>
      </c>
      <c r="I369" s="21" t="str">
        <f aca="true">IF($A369="","",IF(H369&lt;=0,"Paid",IF(F369&lt;TODAY(),"OVERDUE",IF(G369&gt;0,"Part paid","Open"))))</f>
        <v/>
      </c>
      <c r="J369" s="22" t="str">
        <f aca="true">IF($A369="","",IF(AND(H369&gt;0,F369&lt;TODAY()),TODAY()-F369,0))</f>
        <v/>
      </c>
    </row>
    <row r="370" customFormat="false" ht="15" hidden="false" customHeight="false" outlineLevel="0" collapsed="false">
      <c r="A370" s="5"/>
      <c r="B370" s="19"/>
      <c r="C370" s="5"/>
      <c r="D370" s="5"/>
      <c r="E370" s="4"/>
      <c r="F370" s="19"/>
      <c r="G370" s="16" t="str">
        <f aca="false">IF($A370="","",SUMIFS('Cash Book'!$D$5:$D$504,'Cash Book'!$G$5:$G$504,$A370))</f>
        <v/>
      </c>
      <c r="H370" s="16" t="str">
        <f aca="false">IF($A370="","",E370-G370)</f>
        <v/>
      </c>
      <c r="I370" s="21" t="str">
        <f aca="true">IF($A370="","",IF(H370&lt;=0,"Paid",IF(F370&lt;TODAY(),"OVERDUE",IF(G370&gt;0,"Part paid","Open"))))</f>
        <v/>
      </c>
      <c r="J370" s="22" t="str">
        <f aca="true">IF($A370="","",IF(AND(H370&gt;0,F370&lt;TODAY()),TODAY()-F370,0))</f>
        <v/>
      </c>
    </row>
    <row r="371" customFormat="false" ht="15" hidden="false" customHeight="false" outlineLevel="0" collapsed="false">
      <c r="A371" s="5"/>
      <c r="B371" s="19"/>
      <c r="C371" s="5"/>
      <c r="D371" s="5"/>
      <c r="E371" s="4"/>
      <c r="F371" s="19"/>
      <c r="G371" s="16" t="str">
        <f aca="false">IF($A371="","",SUMIFS('Cash Book'!$D$5:$D$504,'Cash Book'!$G$5:$G$504,$A371))</f>
        <v/>
      </c>
      <c r="H371" s="16" t="str">
        <f aca="false">IF($A371="","",E371-G371)</f>
        <v/>
      </c>
      <c r="I371" s="21" t="str">
        <f aca="true">IF($A371="","",IF(H371&lt;=0,"Paid",IF(F371&lt;TODAY(),"OVERDUE",IF(G371&gt;0,"Part paid","Open"))))</f>
        <v/>
      </c>
      <c r="J371" s="22" t="str">
        <f aca="true">IF($A371="","",IF(AND(H371&gt;0,F371&lt;TODAY()),TODAY()-F371,0))</f>
        <v/>
      </c>
    </row>
    <row r="372" customFormat="false" ht="15" hidden="false" customHeight="false" outlineLevel="0" collapsed="false">
      <c r="A372" s="5"/>
      <c r="B372" s="19"/>
      <c r="C372" s="5"/>
      <c r="D372" s="5"/>
      <c r="E372" s="4"/>
      <c r="F372" s="19"/>
      <c r="G372" s="16" t="str">
        <f aca="false">IF($A372="","",SUMIFS('Cash Book'!$D$5:$D$504,'Cash Book'!$G$5:$G$504,$A372))</f>
        <v/>
      </c>
      <c r="H372" s="16" t="str">
        <f aca="false">IF($A372="","",E372-G372)</f>
        <v/>
      </c>
      <c r="I372" s="21" t="str">
        <f aca="true">IF($A372="","",IF(H372&lt;=0,"Paid",IF(F372&lt;TODAY(),"OVERDUE",IF(G372&gt;0,"Part paid","Open"))))</f>
        <v/>
      </c>
      <c r="J372" s="22" t="str">
        <f aca="true">IF($A372="","",IF(AND(H372&gt;0,F372&lt;TODAY()),TODAY()-F372,0))</f>
        <v/>
      </c>
    </row>
    <row r="373" customFormat="false" ht="15" hidden="false" customHeight="false" outlineLevel="0" collapsed="false">
      <c r="A373" s="5"/>
      <c r="B373" s="19"/>
      <c r="C373" s="5"/>
      <c r="D373" s="5"/>
      <c r="E373" s="4"/>
      <c r="F373" s="19"/>
      <c r="G373" s="16" t="str">
        <f aca="false">IF($A373="","",SUMIFS('Cash Book'!$D$5:$D$504,'Cash Book'!$G$5:$G$504,$A373))</f>
        <v/>
      </c>
      <c r="H373" s="16" t="str">
        <f aca="false">IF($A373="","",E373-G373)</f>
        <v/>
      </c>
      <c r="I373" s="21" t="str">
        <f aca="true">IF($A373="","",IF(H373&lt;=0,"Paid",IF(F373&lt;TODAY(),"OVERDUE",IF(G373&gt;0,"Part paid","Open"))))</f>
        <v/>
      </c>
      <c r="J373" s="22" t="str">
        <f aca="true">IF($A373="","",IF(AND(H373&gt;0,F373&lt;TODAY()),TODAY()-F373,0))</f>
        <v/>
      </c>
    </row>
    <row r="374" customFormat="false" ht="15" hidden="false" customHeight="false" outlineLevel="0" collapsed="false">
      <c r="A374" s="5"/>
      <c r="B374" s="19"/>
      <c r="C374" s="5"/>
      <c r="D374" s="5"/>
      <c r="E374" s="4"/>
      <c r="F374" s="19"/>
      <c r="G374" s="16" t="str">
        <f aca="false">IF($A374="","",SUMIFS('Cash Book'!$D$5:$D$504,'Cash Book'!$G$5:$G$504,$A374))</f>
        <v/>
      </c>
      <c r="H374" s="16" t="str">
        <f aca="false">IF($A374="","",E374-G374)</f>
        <v/>
      </c>
      <c r="I374" s="21" t="str">
        <f aca="true">IF($A374="","",IF(H374&lt;=0,"Paid",IF(F374&lt;TODAY(),"OVERDUE",IF(G374&gt;0,"Part paid","Open"))))</f>
        <v/>
      </c>
      <c r="J374" s="22" t="str">
        <f aca="true">IF($A374="","",IF(AND(H374&gt;0,F374&lt;TODAY()),TODAY()-F374,0))</f>
        <v/>
      </c>
    </row>
    <row r="375" customFormat="false" ht="15" hidden="false" customHeight="false" outlineLevel="0" collapsed="false">
      <c r="A375" s="5"/>
      <c r="B375" s="19"/>
      <c r="C375" s="5"/>
      <c r="D375" s="5"/>
      <c r="E375" s="4"/>
      <c r="F375" s="19"/>
      <c r="G375" s="16" t="str">
        <f aca="false">IF($A375="","",SUMIFS('Cash Book'!$D$5:$D$504,'Cash Book'!$G$5:$G$504,$A375))</f>
        <v/>
      </c>
      <c r="H375" s="16" t="str">
        <f aca="false">IF($A375="","",E375-G375)</f>
        <v/>
      </c>
      <c r="I375" s="21" t="str">
        <f aca="true">IF($A375="","",IF(H375&lt;=0,"Paid",IF(F375&lt;TODAY(),"OVERDUE",IF(G375&gt;0,"Part paid","Open"))))</f>
        <v/>
      </c>
      <c r="J375" s="22" t="str">
        <f aca="true">IF($A375="","",IF(AND(H375&gt;0,F375&lt;TODAY()),TODAY()-F375,0))</f>
        <v/>
      </c>
    </row>
    <row r="376" customFormat="false" ht="15" hidden="false" customHeight="false" outlineLevel="0" collapsed="false">
      <c r="A376" s="5"/>
      <c r="B376" s="19"/>
      <c r="C376" s="5"/>
      <c r="D376" s="5"/>
      <c r="E376" s="4"/>
      <c r="F376" s="19"/>
      <c r="G376" s="16" t="str">
        <f aca="false">IF($A376="","",SUMIFS('Cash Book'!$D$5:$D$504,'Cash Book'!$G$5:$G$504,$A376))</f>
        <v/>
      </c>
      <c r="H376" s="16" t="str">
        <f aca="false">IF($A376="","",E376-G376)</f>
        <v/>
      </c>
      <c r="I376" s="21" t="str">
        <f aca="true">IF($A376="","",IF(H376&lt;=0,"Paid",IF(F376&lt;TODAY(),"OVERDUE",IF(G376&gt;0,"Part paid","Open"))))</f>
        <v/>
      </c>
      <c r="J376" s="22" t="str">
        <f aca="true">IF($A376="","",IF(AND(H376&gt;0,F376&lt;TODAY()),TODAY()-F376,0))</f>
        <v/>
      </c>
    </row>
    <row r="377" customFormat="false" ht="15" hidden="false" customHeight="false" outlineLevel="0" collapsed="false">
      <c r="A377" s="5"/>
      <c r="B377" s="19"/>
      <c r="C377" s="5"/>
      <c r="D377" s="5"/>
      <c r="E377" s="4"/>
      <c r="F377" s="19"/>
      <c r="G377" s="16" t="str">
        <f aca="false">IF($A377="","",SUMIFS('Cash Book'!$D$5:$D$504,'Cash Book'!$G$5:$G$504,$A377))</f>
        <v/>
      </c>
      <c r="H377" s="16" t="str">
        <f aca="false">IF($A377="","",E377-G377)</f>
        <v/>
      </c>
      <c r="I377" s="21" t="str">
        <f aca="true">IF($A377="","",IF(H377&lt;=0,"Paid",IF(F377&lt;TODAY(),"OVERDUE",IF(G377&gt;0,"Part paid","Open"))))</f>
        <v/>
      </c>
      <c r="J377" s="22" t="str">
        <f aca="true">IF($A377="","",IF(AND(H377&gt;0,F377&lt;TODAY()),TODAY()-F377,0))</f>
        <v/>
      </c>
    </row>
    <row r="378" customFormat="false" ht="15" hidden="false" customHeight="false" outlineLevel="0" collapsed="false">
      <c r="A378" s="5"/>
      <c r="B378" s="19"/>
      <c r="C378" s="5"/>
      <c r="D378" s="5"/>
      <c r="E378" s="4"/>
      <c r="F378" s="19"/>
      <c r="G378" s="16" t="str">
        <f aca="false">IF($A378="","",SUMIFS('Cash Book'!$D$5:$D$504,'Cash Book'!$G$5:$G$504,$A378))</f>
        <v/>
      </c>
      <c r="H378" s="16" t="str">
        <f aca="false">IF($A378="","",E378-G378)</f>
        <v/>
      </c>
      <c r="I378" s="21" t="str">
        <f aca="true">IF($A378="","",IF(H378&lt;=0,"Paid",IF(F378&lt;TODAY(),"OVERDUE",IF(G378&gt;0,"Part paid","Open"))))</f>
        <v/>
      </c>
      <c r="J378" s="22" t="str">
        <f aca="true">IF($A378="","",IF(AND(H378&gt;0,F378&lt;TODAY()),TODAY()-F378,0))</f>
        <v/>
      </c>
    </row>
    <row r="379" customFormat="false" ht="15" hidden="false" customHeight="false" outlineLevel="0" collapsed="false">
      <c r="A379" s="5"/>
      <c r="B379" s="19"/>
      <c r="C379" s="5"/>
      <c r="D379" s="5"/>
      <c r="E379" s="4"/>
      <c r="F379" s="19"/>
      <c r="G379" s="16" t="str">
        <f aca="false">IF($A379="","",SUMIFS('Cash Book'!$D$5:$D$504,'Cash Book'!$G$5:$G$504,$A379))</f>
        <v/>
      </c>
      <c r="H379" s="16" t="str">
        <f aca="false">IF($A379="","",E379-G379)</f>
        <v/>
      </c>
      <c r="I379" s="21" t="str">
        <f aca="true">IF($A379="","",IF(H379&lt;=0,"Paid",IF(F379&lt;TODAY(),"OVERDUE",IF(G379&gt;0,"Part paid","Open"))))</f>
        <v/>
      </c>
      <c r="J379" s="22" t="str">
        <f aca="true">IF($A379="","",IF(AND(H379&gt;0,F379&lt;TODAY()),TODAY()-F379,0))</f>
        <v/>
      </c>
    </row>
    <row r="380" customFormat="false" ht="15" hidden="false" customHeight="false" outlineLevel="0" collapsed="false">
      <c r="A380" s="5"/>
      <c r="B380" s="19"/>
      <c r="C380" s="5"/>
      <c r="D380" s="5"/>
      <c r="E380" s="4"/>
      <c r="F380" s="19"/>
      <c r="G380" s="16" t="str">
        <f aca="false">IF($A380="","",SUMIFS('Cash Book'!$D$5:$D$504,'Cash Book'!$G$5:$G$504,$A380))</f>
        <v/>
      </c>
      <c r="H380" s="16" t="str">
        <f aca="false">IF($A380="","",E380-G380)</f>
        <v/>
      </c>
      <c r="I380" s="21" t="str">
        <f aca="true">IF($A380="","",IF(H380&lt;=0,"Paid",IF(F380&lt;TODAY(),"OVERDUE",IF(G380&gt;0,"Part paid","Open"))))</f>
        <v/>
      </c>
      <c r="J380" s="22" t="str">
        <f aca="true">IF($A380="","",IF(AND(H380&gt;0,F380&lt;TODAY()),TODAY()-F380,0))</f>
        <v/>
      </c>
    </row>
    <row r="381" customFormat="false" ht="15" hidden="false" customHeight="false" outlineLevel="0" collapsed="false">
      <c r="A381" s="5"/>
      <c r="B381" s="19"/>
      <c r="C381" s="5"/>
      <c r="D381" s="5"/>
      <c r="E381" s="4"/>
      <c r="F381" s="19"/>
      <c r="G381" s="16" t="str">
        <f aca="false">IF($A381="","",SUMIFS('Cash Book'!$D$5:$D$504,'Cash Book'!$G$5:$G$504,$A381))</f>
        <v/>
      </c>
      <c r="H381" s="16" t="str">
        <f aca="false">IF($A381="","",E381-G381)</f>
        <v/>
      </c>
      <c r="I381" s="21" t="str">
        <f aca="true">IF($A381="","",IF(H381&lt;=0,"Paid",IF(F381&lt;TODAY(),"OVERDUE",IF(G381&gt;0,"Part paid","Open"))))</f>
        <v/>
      </c>
      <c r="J381" s="22" t="str">
        <f aca="true">IF($A381="","",IF(AND(H381&gt;0,F381&lt;TODAY()),TODAY()-F381,0))</f>
        <v/>
      </c>
    </row>
    <row r="382" customFormat="false" ht="15" hidden="false" customHeight="false" outlineLevel="0" collapsed="false">
      <c r="A382" s="5"/>
      <c r="B382" s="19"/>
      <c r="C382" s="5"/>
      <c r="D382" s="5"/>
      <c r="E382" s="4"/>
      <c r="F382" s="19"/>
      <c r="G382" s="16" t="str">
        <f aca="false">IF($A382="","",SUMIFS('Cash Book'!$D$5:$D$504,'Cash Book'!$G$5:$G$504,$A382))</f>
        <v/>
      </c>
      <c r="H382" s="16" t="str">
        <f aca="false">IF($A382="","",E382-G382)</f>
        <v/>
      </c>
      <c r="I382" s="21" t="str">
        <f aca="true">IF($A382="","",IF(H382&lt;=0,"Paid",IF(F382&lt;TODAY(),"OVERDUE",IF(G382&gt;0,"Part paid","Open"))))</f>
        <v/>
      </c>
      <c r="J382" s="22" t="str">
        <f aca="true">IF($A382="","",IF(AND(H382&gt;0,F382&lt;TODAY()),TODAY()-F382,0))</f>
        <v/>
      </c>
    </row>
    <row r="383" customFormat="false" ht="15" hidden="false" customHeight="false" outlineLevel="0" collapsed="false">
      <c r="A383" s="5"/>
      <c r="B383" s="19"/>
      <c r="C383" s="5"/>
      <c r="D383" s="5"/>
      <c r="E383" s="4"/>
      <c r="F383" s="19"/>
      <c r="G383" s="16" t="str">
        <f aca="false">IF($A383="","",SUMIFS('Cash Book'!$D$5:$D$504,'Cash Book'!$G$5:$G$504,$A383))</f>
        <v/>
      </c>
      <c r="H383" s="16" t="str">
        <f aca="false">IF($A383="","",E383-G383)</f>
        <v/>
      </c>
      <c r="I383" s="21" t="str">
        <f aca="true">IF($A383="","",IF(H383&lt;=0,"Paid",IF(F383&lt;TODAY(),"OVERDUE",IF(G383&gt;0,"Part paid","Open"))))</f>
        <v/>
      </c>
      <c r="J383" s="22" t="str">
        <f aca="true">IF($A383="","",IF(AND(H383&gt;0,F383&lt;TODAY()),TODAY()-F383,0))</f>
        <v/>
      </c>
    </row>
    <row r="384" customFormat="false" ht="15" hidden="false" customHeight="false" outlineLevel="0" collapsed="false">
      <c r="A384" s="5"/>
      <c r="B384" s="19"/>
      <c r="C384" s="5"/>
      <c r="D384" s="5"/>
      <c r="E384" s="4"/>
      <c r="F384" s="19"/>
      <c r="G384" s="16" t="str">
        <f aca="false">IF($A384="","",SUMIFS('Cash Book'!$D$5:$D$504,'Cash Book'!$G$5:$G$504,$A384))</f>
        <v/>
      </c>
      <c r="H384" s="16" t="str">
        <f aca="false">IF($A384="","",E384-G384)</f>
        <v/>
      </c>
      <c r="I384" s="21" t="str">
        <f aca="true">IF($A384="","",IF(H384&lt;=0,"Paid",IF(F384&lt;TODAY(),"OVERDUE",IF(G384&gt;0,"Part paid","Open"))))</f>
        <v/>
      </c>
      <c r="J384" s="22" t="str">
        <f aca="true">IF($A384="","",IF(AND(H384&gt;0,F384&lt;TODAY()),TODAY()-F384,0))</f>
        <v/>
      </c>
    </row>
    <row r="385" customFormat="false" ht="15" hidden="false" customHeight="false" outlineLevel="0" collapsed="false">
      <c r="A385" s="5"/>
      <c r="B385" s="19"/>
      <c r="C385" s="5"/>
      <c r="D385" s="5"/>
      <c r="E385" s="4"/>
      <c r="F385" s="19"/>
      <c r="G385" s="16" t="str">
        <f aca="false">IF($A385="","",SUMIFS('Cash Book'!$D$5:$D$504,'Cash Book'!$G$5:$G$504,$A385))</f>
        <v/>
      </c>
      <c r="H385" s="16" t="str">
        <f aca="false">IF($A385="","",E385-G385)</f>
        <v/>
      </c>
      <c r="I385" s="21" t="str">
        <f aca="true">IF($A385="","",IF(H385&lt;=0,"Paid",IF(F385&lt;TODAY(),"OVERDUE",IF(G385&gt;0,"Part paid","Open"))))</f>
        <v/>
      </c>
      <c r="J385" s="22" t="str">
        <f aca="true">IF($A385="","",IF(AND(H385&gt;0,F385&lt;TODAY()),TODAY()-F385,0))</f>
        <v/>
      </c>
    </row>
    <row r="386" customFormat="false" ht="15" hidden="false" customHeight="false" outlineLevel="0" collapsed="false">
      <c r="A386" s="5"/>
      <c r="B386" s="19"/>
      <c r="C386" s="5"/>
      <c r="D386" s="5"/>
      <c r="E386" s="4"/>
      <c r="F386" s="19"/>
      <c r="G386" s="16" t="str">
        <f aca="false">IF($A386="","",SUMIFS('Cash Book'!$D$5:$D$504,'Cash Book'!$G$5:$G$504,$A386))</f>
        <v/>
      </c>
      <c r="H386" s="16" t="str">
        <f aca="false">IF($A386="","",E386-G386)</f>
        <v/>
      </c>
      <c r="I386" s="21" t="str">
        <f aca="true">IF($A386="","",IF(H386&lt;=0,"Paid",IF(F386&lt;TODAY(),"OVERDUE",IF(G386&gt;0,"Part paid","Open"))))</f>
        <v/>
      </c>
      <c r="J386" s="22" t="str">
        <f aca="true">IF($A386="","",IF(AND(H386&gt;0,F386&lt;TODAY()),TODAY()-F386,0))</f>
        <v/>
      </c>
    </row>
    <row r="387" customFormat="false" ht="15" hidden="false" customHeight="false" outlineLevel="0" collapsed="false">
      <c r="A387" s="5"/>
      <c r="B387" s="19"/>
      <c r="C387" s="5"/>
      <c r="D387" s="5"/>
      <c r="E387" s="4"/>
      <c r="F387" s="19"/>
      <c r="G387" s="16" t="str">
        <f aca="false">IF($A387="","",SUMIFS('Cash Book'!$D$5:$D$504,'Cash Book'!$G$5:$G$504,$A387))</f>
        <v/>
      </c>
      <c r="H387" s="16" t="str">
        <f aca="false">IF($A387="","",E387-G387)</f>
        <v/>
      </c>
      <c r="I387" s="21" t="str">
        <f aca="true">IF($A387="","",IF(H387&lt;=0,"Paid",IF(F387&lt;TODAY(),"OVERDUE",IF(G387&gt;0,"Part paid","Open"))))</f>
        <v/>
      </c>
      <c r="J387" s="22" t="str">
        <f aca="true">IF($A387="","",IF(AND(H387&gt;0,F387&lt;TODAY()),TODAY()-F387,0))</f>
        <v/>
      </c>
    </row>
    <row r="388" customFormat="false" ht="15" hidden="false" customHeight="false" outlineLevel="0" collapsed="false">
      <c r="A388" s="5"/>
      <c r="B388" s="19"/>
      <c r="C388" s="5"/>
      <c r="D388" s="5"/>
      <c r="E388" s="4"/>
      <c r="F388" s="19"/>
      <c r="G388" s="16" t="str">
        <f aca="false">IF($A388="","",SUMIFS('Cash Book'!$D$5:$D$504,'Cash Book'!$G$5:$G$504,$A388))</f>
        <v/>
      </c>
      <c r="H388" s="16" t="str">
        <f aca="false">IF($A388="","",E388-G388)</f>
        <v/>
      </c>
      <c r="I388" s="21" t="str">
        <f aca="true">IF($A388="","",IF(H388&lt;=0,"Paid",IF(F388&lt;TODAY(),"OVERDUE",IF(G388&gt;0,"Part paid","Open"))))</f>
        <v/>
      </c>
      <c r="J388" s="22" t="str">
        <f aca="true">IF($A388="","",IF(AND(H388&gt;0,F388&lt;TODAY()),TODAY()-F388,0))</f>
        <v/>
      </c>
    </row>
    <row r="389" customFormat="false" ht="15" hidden="false" customHeight="false" outlineLevel="0" collapsed="false">
      <c r="A389" s="5"/>
      <c r="B389" s="19"/>
      <c r="C389" s="5"/>
      <c r="D389" s="5"/>
      <c r="E389" s="4"/>
      <c r="F389" s="19"/>
      <c r="G389" s="16" t="str">
        <f aca="false">IF($A389="","",SUMIFS('Cash Book'!$D$5:$D$504,'Cash Book'!$G$5:$G$504,$A389))</f>
        <v/>
      </c>
      <c r="H389" s="16" t="str">
        <f aca="false">IF($A389="","",E389-G389)</f>
        <v/>
      </c>
      <c r="I389" s="21" t="str">
        <f aca="true">IF($A389="","",IF(H389&lt;=0,"Paid",IF(F389&lt;TODAY(),"OVERDUE",IF(G389&gt;0,"Part paid","Open"))))</f>
        <v/>
      </c>
      <c r="J389" s="22" t="str">
        <f aca="true">IF($A389="","",IF(AND(H389&gt;0,F389&lt;TODAY()),TODAY()-F389,0))</f>
        <v/>
      </c>
    </row>
    <row r="390" customFormat="false" ht="15" hidden="false" customHeight="false" outlineLevel="0" collapsed="false">
      <c r="A390" s="5"/>
      <c r="B390" s="19"/>
      <c r="C390" s="5"/>
      <c r="D390" s="5"/>
      <c r="E390" s="4"/>
      <c r="F390" s="19"/>
      <c r="G390" s="16" t="str">
        <f aca="false">IF($A390="","",SUMIFS('Cash Book'!$D$5:$D$504,'Cash Book'!$G$5:$G$504,$A390))</f>
        <v/>
      </c>
      <c r="H390" s="16" t="str">
        <f aca="false">IF($A390="","",E390-G390)</f>
        <v/>
      </c>
      <c r="I390" s="21" t="str">
        <f aca="true">IF($A390="","",IF(H390&lt;=0,"Paid",IF(F390&lt;TODAY(),"OVERDUE",IF(G390&gt;0,"Part paid","Open"))))</f>
        <v/>
      </c>
      <c r="J390" s="22" t="str">
        <f aca="true">IF($A390="","",IF(AND(H390&gt;0,F390&lt;TODAY()),TODAY()-F390,0))</f>
        <v/>
      </c>
    </row>
    <row r="391" customFormat="false" ht="15" hidden="false" customHeight="false" outlineLevel="0" collapsed="false">
      <c r="A391" s="5"/>
      <c r="B391" s="19"/>
      <c r="C391" s="5"/>
      <c r="D391" s="5"/>
      <c r="E391" s="4"/>
      <c r="F391" s="19"/>
      <c r="G391" s="16" t="str">
        <f aca="false">IF($A391="","",SUMIFS('Cash Book'!$D$5:$D$504,'Cash Book'!$G$5:$G$504,$A391))</f>
        <v/>
      </c>
      <c r="H391" s="16" t="str">
        <f aca="false">IF($A391="","",E391-G391)</f>
        <v/>
      </c>
      <c r="I391" s="21" t="str">
        <f aca="true">IF($A391="","",IF(H391&lt;=0,"Paid",IF(F391&lt;TODAY(),"OVERDUE",IF(G391&gt;0,"Part paid","Open"))))</f>
        <v/>
      </c>
      <c r="J391" s="22" t="str">
        <f aca="true">IF($A391="","",IF(AND(H391&gt;0,F391&lt;TODAY()),TODAY()-F391,0))</f>
        <v/>
      </c>
    </row>
    <row r="392" customFormat="false" ht="15" hidden="false" customHeight="false" outlineLevel="0" collapsed="false">
      <c r="A392" s="5"/>
      <c r="B392" s="19"/>
      <c r="C392" s="5"/>
      <c r="D392" s="5"/>
      <c r="E392" s="4"/>
      <c r="F392" s="19"/>
      <c r="G392" s="16" t="str">
        <f aca="false">IF($A392="","",SUMIFS('Cash Book'!$D$5:$D$504,'Cash Book'!$G$5:$G$504,$A392))</f>
        <v/>
      </c>
      <c r="H392" s="16" t="str">
        <f aca="false">IF($A392="","",E392-G392)</f>
        <v/>
      </c>
      <c r="I392" s="21" t="str">
        <f aca="true">IF($A392="","",IF(H392&lt;=0,"Paid",IF(F392&lt;TODAY(),"OVERDUE",IF(G392&gt;0,"Part paid","Open"))))</f>
        <v/>
      </c>
      <c r="J392" s="22" t="str">
        <f aca="true">IF($A392="","",IF(AND(H392&gt;0,F392&lt;TODAY()),TODAY()-F392,0))</f>
        <v/>
      </c>
    </row>
    <row r="393" customFormat="false" ht="15" hidden="false" customHeight="false" outlineLevel="0" collapsed="false">
      <c r="A393" s="5"/>
      <c r="B393" s="19"/>
      <c r="C393" s="5"/>
      <c r="D393" s="5"/>
      <c r="E393" s="4"/>
      <c r="F393" s="19"/>
      <c r="G393" s="16" t="str">
        <f aca="false">IF($A393="","",SUMIFS('Cash Book'!$D$5:$D$504,'Cash Book'!$G$5:$G$504,$A393))</f>
        <v/>
      </c>
      <c r="H393" s="16" t="str">
        <f aca="false">IF($A393="","",E393-G393)</f>
        <v/>
      </c>
      <c r="I393" s="21" t="str">
        <f aca="true">IF($A393="","",IF(H393&lt;=0,"Paid",IF(F393&lt;TODAY(),"OVERDUE",IF(G393&gt;0,"Part paid","Open"))))</f>
        <v/>
      </c>
      <c r="J393" s="22" t="str">
        <f aca="true">IF($A393="","",IF(AND(H393&gt;0,F393&lt;TODAY()),TODAY()-F393,0))</f>
        <v/>
      </c>
    </row>
    <row r="394" customFormat="false" ht="15" hidden="false" customHeight="false" outlineLevel="0" collapsed="false">
      <c r="A394" s="5"/>
      <c r="B394" s="19"/>
      <c r="C394" s="5"/>
      <c r="D394" s="5"/>
      <c r="E394" s="4"/>
      <c r="F394" s="19"/>
      <c r="G394" s="16" t="str">
        <f aca="false">IF($A394="","",SUMIFS('Cash Book'!$D$5:$D$504,'Cash Book'!$G$5:$G$504,$A394))</f>
        <v/>
      </c>
      <c r="H394" s="16" t="str">
        <f aca="false">IF($A394="","",E394-G394)</f>
        <v/>
      </c>
      <c r="I394" s="21" t="str">
        <f aca="true">IF($A394="","",IF(H394&lt;=0,"Paid",IF(F394&lt;TODAY(),"OVERDUE",IF(G394&gt;0,"Part paid","Open"))))</f>
        <v/>
      </c>
      <c r="J394" s="22" t="str">
        <f aca="true">IF($A394="","",IF(AND(H394&gt;0,F394&lt;TODAY()),TODAY()-F394,0))</f>
        <v/>
      </c>
    </row>
    <row r="395" customFormat="false" ht="15" hidden="false" customHeight="false" outlineLevel="0" collapsed="false">
      <c r="A395" s="5"/>
      <c r="B395" s="19"/>
      <c r="C395" s="5"/>
      <c r="D395" s="5"/>
      <c r="E395" s="4"/>
      <c r="F395" s="19"/>
      <c r="G395" s="16" t="str">
        <f aca="false">IF($A395="","",SUMIFS('Cash Book'!$D$5:$D$504,'Cash Book'!$G$5:$G$504,$A395))</f>
        <v/>
      </c>
      <c r="H395" s="16" t="str">
        <f aca="false">IF($A395="","",E395-G395)</f>
        <v/>
      </c>
      <c r="I395" s="21" t="str">
        <f aca="true">IF($A395="","",IF(H395&lt;=0,"Paid",IF(F395&lt;TODAY(),"OVERDUE",IF(G395&gt;0,"Part paid","Open"))))</f>
        <v/>
      </c>
      <c r="J395" s="22" t="str">
        <f aca="true">IF($A395="","",IF(AND(H395&gt;0,F395&lt;TODAY()),TODAY()-F395,0))</f>
        <v/>
      </c>
    </row>
    <row r="396" customFormat="false" ht="15" hidden="false" customHeight="false" outlineLevel="0" collapsed="false">
      <c r="A396" s="5"/>
      <c r="B396" s="19"/>
      <c r="C396" s="5"/>
      <c r="D396" s="5"/>
      <c r="E396" s="4"/>
      <c r="F396" s="19"/>
      <c r="G396" s="16" t="str">
        <f aca="false">IF($A396="","",SUMIFS('Cash Book'!$D$5:$D$504,'Cash Book'!$G$5:$G$504,$A396))</f>
        <v/>
      </c>
      <c r="H396" s="16" t="str">
        <f aca="false">IF($A396="","",E396-G396)</f>
        <v/>
      </c>
      <c r="I396" s="21" t="str">
        <f aca="true">IF($A396="","",IF(H396&lt;=0,"Paid",IF(F396&lt;TODAY(),"OVERDUE",IF(G396&gt;0,"Part paid","Open"))))</f>
        <v/>
      </c>
      <c r="J396" s="22" t="str">
        <f aca="true">IF($A396="","",IF(AND(H396&gt;0,F396&lt;TODAY()),TODAY()-F396,0))</f>
        <v/>
      </c>
    </row>
    <row r="397" customFormat="false" ht="15" hidden="false" customHeight="false" outlineLevel="0" collapsed="false">
      <c r="A397" s="5"/>
      <c r="B397" s="19"/>
      <c r="C397" s="5"/>
      <c r="D397" s="5"/>
      <c r="E397" s="4"/>
      <c r="F397" s="19"/>
      <c r="G397" s="16" t="str">
        <f aca="false">IF($A397="","",SUMIFS('Cash Book'!$D$5:$D$504,'Cash Book'!$G$5:$G$504,$A397))</f>
        <v/>
      </c>
      <c r="H397" s="16" t="str">
        <f aca="false">IF($A397="","",E397-G397)</f>
        <v/>
      </c>
      <c r="I397" s="21" t="str">
        <f aca="true">IF($A397="","",IF(H397&lt;=0,"Paid",IF(F397&lt;TODAY(),"OVERDUE",IF(G397&gt;0,"Part paid","Open"))))</f>
        <v/>
      </c>
      <c r="J397" s="22" t="str">
        <f aca="true">IF($A397="","",IF(AND(H397&gt;0,F397&lt;TODAY()),TODAY()-F397,0))</f>
        <v/>
      </c>
    </row>
    <row r="398" customFormat="false" ht="15" hidden="false" customHeight="false" outlineLevel="0" collapsed="false">
      <c r="A398" s="5"/>
      <c r="B398" s="19"/>
      <c r="C398" s="5"/>
      <c r="D398" s="5"/>
      <c r="E398" s="4"/>
      <c r="F398" s="19"/>
      <c r="G398" s="16" t="str">
        <f aca="false">IF($A398="","",SUMIFS('Cash Book'!$D$5:$D$504,'Cash Book'!$G$5:$G$504,$A398))</f>
        <v/>
      </c>
      <c r="H398" s="16" t="str">
        <f aca="false">IF($A398="","",E398-G398)</f>
        <v/>
      </c>
      <c r="I398" s="21" t="str">
        <f aca="true">IF($A398="","",IF(H398&lt;=0,"Paid",IF(F398&lt;TODAY(),"OVERDUE",IF(G398&gt;0,"Part paid","Open"))))</f>
        <v/>
      </c>
      <c r="J398" s="22" t="str">
        <f aca="true">IF($A398="","",IF(AND(H398&gt;0,F398&lt;TODAY()),TODAY()-F398,0))</f>
        <v/>
      </c>
    </row>
    <row r="399" customFormat="false" ht="15" hidden="false" customHeight="false" outlineLevel="0" collapsed="false">
      <c r="A399" s="5"/>
      <c r="B399" s="19"/>
      <c r="C399" s="5"/>
      <c r="D399" s="5"/>
      <c r="E399" s="4"/>
      <c r="F399" s="19"/>
      <c r="G399" s="16" t="str">
        <f aca="false">IF($A399="","",SUMIFS('Cash Book'!$D$5:$D$504,'Cash Book'!$G$5:$G$504,$A399))</f>
        <v/>
      </c>
      <c r="H399" s="16" t="str">
        <f aca="false">IF($A399="","",E399-G399)</f>
        <v/>
      </c>
      <c r="I399" s="21" t="str">
        <f aca="true">IF($A399="","",IF(H399&lt;=0,"Paid",IF(F399&lt;TODAY(),"OVERDUE",IF(G399&gt;0,"Part paid","Open"))))</f>
        <v/>
      </c>
      <c r="J399" s="22" t="str">
        <f aca="true">IF($A399="","",IF(AND(H399&gt;0,F399&lt;TODAY()),TODAY()-F399,0))</f>
        <v/>
      </c>
    </row>
    <row r="400" customFormat="false" ht="15" hidden="false" customHeight="false" outlineLevel="0" collapsed="false">
      <c r="A400" s="5"/>
      <c r="B400" s="19"/>
      <c r="C400" s="5"/>
      <c r="D400" s="5"/>
      <c r="E400" s="4"/>
      <c r="F400" s="19"/>
      <c r="G400" s="16" t="str">
        <f aca="false">IF($A400="","",SUMIFS('Cash Book'!$D$5:$D$504,'Cash Book'!$G$5:$G$504,$A400))</f>
        <v/>
      </c>
      <c r="H400" s="16" t="str">
        <f aca="false">IF($A400="","",E400-G400)</f>
        <v/>
      </c>
      <c r="I400" s="21" t="str">
        <f aca="true">IF($A400="","",IF(H400&lt;=0,"Paid",IF(F400&lt;TODAY(),"OVERDUE",IF(G400&gt;0,"Part paid","Open"))))</f>
        <v/>
      </c>
      <c r="J400" s="22" t="str">
        <f aca="true">IF($A400="","",IF(AND(H400&gt;0,F400&lt;TODAY()),TODAY()-F400,0))</f>
        <v/>
      </c>
    </row>
    <row r="401" customFormat="false" ht="15" hidden="false" customHeight="false" outlineLevel="0" collapsed="false">
      <c r="A401" s="5"/>
      <c r="B401" s="19"/>
      <c r="C401" s="5"/>
      <c r="D401" s="5"/>
      <c r="E401" s="4"/>
      <c r="F401" s="19"/>
      <c r="G401" s="16" t="str">
        <f aca="false">IF($A401="","",SUMIFS('Cash Book'!$D$5:$D$504,'Cash Book'!$G$5:$G$504,$A401))</f>
        <v/>
      </c>
      <c r="H401" s="16" t="str">
        <f aca="false">IF($A401="","",E401-G401)</f>
        <v/>
      </c>
      <c r="I401" s="21" t="str">
        <f aca="true">IF($A401="","",IF(H401&lt;=0,"Paid",IF(F401&lt;TODAY(),"OVERDUE",IF(G401&gt;0,"Part paid","Open"))))</f>
        <v/>
      </c>
      <c r="J401" s="22" t="str">
        <f aca="true">IF($A401="","",IF(AND(H401&gt;0,F401&lt;TODAY()),TODAY()-F401,0))</f>
        <v/>
      </c>
    </row>
    <row r="402" customFormat="false" ht="15" hidden="false" customHeight="false" outlineLevel="0" collapsed="false">
      <c r="A402" s="5"/>
      <c r="B402" s="19"/>
      <c r="C402" s="5"/>
      <c r="D402" s="5"/>
      <c r="E402" s="4"/>
      <c r="F402" s="19"/>
      <c r="G402" s="16" t="str">
        <f aca="false">IF($A402="","",SUMIFS('Cash Book'!$D$5:$D$504,'Cash Book'!$G$5:$G$504,$A402))</f>
        <v/>
      </c>
      <c r="H402" s="16" t="str">
        <f aca="false">IF($A402="","",E402-G402)</f>
        <v/>
      </c>
      <c r="I402" s="21" t="str">
        <f aca="true">IF($A402="","",IF(H402&lt;=0,"Paid",IF(F402&lt;TODAY(),"OVERDUE",IF(G402&gt;0,"Part paid","Open"))))</f>
        <v/>
      </c>
      <c r="J402" s="22" t="str">
        <f aca="true">IF($A402="","",IF(AND(H402&gt;0,F402&lt;TODAY()),TODAY()-F402,0))</f>
        <v/>
      </c>
    </row>
    <row r="403" customFormat="false" ht="15" hidden="false" customHeight="false" outlineLevel="0" collapsed="false">
      <c r="A403" s="5"/>
      <c r="B403" s="19"/>
      <c r="C403" s="5"/>
      <c r="D403" s="5"/>
      <c r="E403" s="4"/>
      <c r="F403" s="19"/>
      <c r="G403" s="16" t="str">
        <f aca="false">IF($A403="","",SUMIFS('Cash Book'!$D$5:$D$504,'Cash Book'!$G$5:$G$504,$A403))</f>
        <v/>
      </c>
      <c r="H403" s="16" t="str">
        <f aca="false">IF($A403="","",E403-G403)</f>
        <v/>
      </c>
      <c r="I403" s="21" t="str">
        <f aca="true">IF($A403="","",IF(H403&lt;=0,"Paid",IF(F403&lt;TODAY(),"OVERDUE",IF(G403&gt;0,"Part paid","Open"))))</f>
        <v/>
      </c>
      <c r="J403" s="22" t="str">
        <f aca="true">IF($A403="","",IF(AND(H403&gt;0,F403&lt;TODAY()),TODAY()-F403,0))</f>
        <v/>
      </c>
    </row>
    <row r="404" customFormat="false" ht="15" hidden="false" customHeight="false" outlineLevel="0" collapsed="false">
      <c r="A404" s="5"/>
      <c r="B404" s="19"/>
      <c r="C404" s="5"/>
      <c r="D404" s="5"/>
      <c r="E404" s="4"/>
      <c r="F404" s="19"/>
      <c r="G404" s="16" t="str">
        <f aca="false">IF($A404="","",SUMIFS('Cash Book'!$D$5:$D$504,'Cash Book'!$G$5:$G$504,$A404))</f>
        <v/>
      </c>
      <c r="H404" s="16" t="str">
        <f aca="false">IF($A404="","",E404-G404)</f>
        <v/>
      </c>
      <c r="I404" s="21" t="str">
        <f aca="true">IF($A404="","",IF(H404&lt;=0,"Paid",IF(F404&lt;TODAY(),"OVERDUE",IF(G404&gt;0,"Part paid","Open"))))</f>
        <v/>
      </c>
      <c r="J404" s="22" t="str">
        <f aca="true">IF($A404="","",IF(AND(H404&gt;0,F404&lt;TODAY()),TODAY()-F404,0))</f>
        <v/>
      </c>
    </row>
    <row r="405" customFormat="false" ht="15" hidden="false" customHeight="false" outlineLevel="0" collapsed="false">
      <c r="A405" s="5"/>
      <c r="B405" s="19"/>
      <c r="C405" s="5"/>
      <c r="D405" s="5"/>
      <c r="E405" s="4"/>
      <c r="F405" s="19"/>
      <c r="G405" s="16" t="str">
        <f aca="false">IF($A405="","",SUMIFS('Cash Book'!$D$5:$D$504,'Cash Book'!$G$5:$G$504,$A405))</f>
        <v/>
      </c>
      <c r="H405" s="16" t="str">
        <f aca="false">IF($A405="","",E405-G405)</f>
        <v/>
      </c>
      <c r="I405" s="21" t="str">
        <f aca="true">IF($A405="","",IF(H405&lt;=0,"Paid",IF(F405&lt;TODAY(),"OVERDUE",IF(G405&gt;0,"Part paid","Open"))))</f>
        <v/>
      </c>
      <c r="J405" s="22" t="str">
        <f aca="true">IF($A405="","",IF(AND(H405&gt;0,F405&lt;TODAY()),TODAY()-F405,0))</f>
        <v/>
      </c>
    </row>
    <row r="406" customFormat="false" ht="15" hidden="false" customHeight="false" outlineLevel="0" collapsed="false">
      <c r="A406" s="5"/>
      <c r="B406" s="19"/>
      <c r="C406" s="5"/>
      <c r="D406" s="5"/>
      <c r="E406" s="4"/>
      <c r="F406" s="19"/>
      <c r="G406" s="16" t="str">
        <f aca="false">IF($A406="","",SUMIFS('Cash Book'!$D$5:$D$504,'Cash Book'!$G$5:$G$504,$A406))</f>
        <v/>
      </c>
      <c r="H406" s="16" t="str">
        <f aca="false">IF($A406="","",E406-G406)</f>
        <v/>
      </c>
      <c r="I406" s="21" t="str">
        <f aca="true">IF($A406="","",IF(H406&lt;=0,"Paid",IF(F406&lt;TODAY(),"OVERDUE",IF(G406&gt;0,"Part paid","Open"))))</f>
        <v/>
      </c>
      <c r="J406" s="22" t="str">
        <f aca="true">IF($A406="","",IF(AND(H406&gt;0,F406&lt;TODAY()),TODAY()-F406,0))</f>
        <v/>
      </c>
    </row>
    <row r="407" customFormat="false" ht="15" hidden="false" customHeight="false" outlineLevel="0" collapsed="false">
      <c r="A407" s="5"/>
      <c r="B407" s="19"/>
      <c r="C407" s="5"/>
      <c r="D407" s="5"/>
      <c r="E407" s="4"/>
      <c r="F407" s="19"/>
      <c r="G407" s="16" t="str">
        <f aca="false">IF($A407="","",SUMIFS('Cash Book'!$D$5:$D$504,'Cash Book'!$G$5:$G$504,$A407))</f>
        <v/>
      </c>
      <c r="H407" s="16" t="str">
        <f aca="false">IF($A407="","",E407-G407)</f>
        <v/>
      </c>
      <c r="I407" s="21" t="str">
        <f aca="true">IF($A407="","",IF(H407&lt;=0,"Paid",IF(F407&lt;TODAY(),"OVERDUE",IF(G407&gt;0,"Part paid","Open"))))</f>
        <v/>
      </c>
      <c r="J407" s="22" t="str">
        <f aca="true">IF($A407="","",IF(AND(H407&gt;0,F407&lt;TODAY()),TODAY()-F407,0))</f>
        <v/>
      </c>
    </row>
    <row r="408" customFormat="false" ht="15" hidden="false" customHeight="false" outlineLevel="0" collapsed="false">
      <c r="A408" s="5"/>
      <c r="B408" s="19"/>
      <c r="C408" s="5"/>
      <c r="D408" s="5"/>
      <c r="E408" s="4"/>
      <c r="F408" s="19"/>
      <c r="G408" s="16" t="str">
        <f aca="false">IF($A408="","",SUMIFS('Cash Book'!$D$5:$D$504,'Cash Book'!$G$5:$G$504,$A408))</f>
        <v/>
      </c>
      <c r="H408" s="16" t="str">
        <f aca="false">IF($A408="","",E408-G408)</f>
        <v/>
      </c>
      <c r="I408" s="21" t="str">
        <f aca="true">IF($A408="","",IF(H408&lt;=0,"Paid",IF(F408&lt;TODAY(),"OVERDUE",IF(G408&gt;0,"Part paid","Open"))))</f>
        <v/>
      </c>
      <c r="J408" s="22" t="str">
        <f aca="true">IF($A408="","",IF(AND(H408&gt;0,F408&lt;TODAY()),TODAY()-F408,0))</f>
        <v/>
      </c>
    </row>
    <row r="409" customFormat="false" ht="15" hidden="false" customHeight="false" outlineLevel="0" collapsed="false">
      <c r="A409" s="5"/>
      <c r="B409" s="19"/>
      <c r="C409" s="5"/>
      <c r="D409" s="5"/>
      <c r="E409" s="4"/>
      <c r="F409" s="19"/>
      <c r="G409" s="16" t="str">
        <f aca="false">IF($A409="","",SUMIFS('Cash Book'!$D$5:$D$504,'Cash Book'!$G$5:$G$504,$A409))</f>
        <v/>
      </c>
      <c r="H409" s="16" t="str">
        <f aca="false">IF($A409="","",E409-G409)</f>
        <v/>
      </c>
      <c r="I409" s="21" t="str">
        <f aca="true">IF($A409="","",IF(H409&lt;=0,"Paid",IF(F409&lt;TODAY(),"OVERDUE",IF(G409&gt;0,"Part paid","Open"))))</f>
        <v/>
      </c>
      <c r="J409" s="22" t="str">
        <f aca="true">IF($A409="","",IF(AND(H409&gt;0,F409&lt;TODAY()),TODAY()-F409,0))</f>
        <v/>
      </c>
    </row>
    <row r="410" customFormat="false" ht="15" hidden="false" customHeight="false" outlineLevel="0" collapsed="false">
      <c r="A410" s="5"/>
      <c r="B410" s="19"/>
      <c r="C410" s="5"/>
      <c r="D410" s="5"/>
      <c r="E410" s="4"/>
      <c r="F410" s="19"/>
      <c r="G410" s="16" t="str">
        <f aca="false">IF($A410="","",SUMIFS('Cash Book'!$D$5:$D$504,'Cash Book'!$G$5:$G$504,$A410))</f>
        <v/>
      </c>
      <c r="H410" s="16" t="str">
        <f aca="false">IF($A410="","",E410-G410)</f>
        <v/>
      </c>
      <c r="I410" s="21" t="str">
        <f aca="true">IF($A410="","",IF(H410&lt;=0,"Paid",IF(F410&lt;TODAY(),"OVERDUE",IF(G410&gt;0,"Part paid","Open"))))</f>
        <v/>
      </c>
      <c r="J410" s="22" t="str">
        <f aca="true">IF($A410="","",IF(AND(H410&gt;0,F410&lt;TODAY()),TODAY()-F410,0))</f>
        <v/>
      </c>
    </row>
    <row r="411" customFormat="false" ht="15" hidden="false" customHeight="false" outlineLevel="0" collapsed="false">
      <c r="A411" s="5"/>
      <c r="B411" s="19"/>
      <c r="C411" s="5"/>
      <c r="D411" s="5"/>
      <c r="E411" s="4"/>
      <c r="F411" s="19"/>
      <c r="G411" s="16" t="str">
        <f aca="false">IF($A411="","",SUMIFS('Cash Book'!$D$5:$D$504,'Cash Book'!$G$5:$G$504,$A411))</f>
        <v/>
      </c>
      <c r="H411" s="16" t="str">
        <f aca="false">IF($A411="","",E411-G411)</f>
        <v/>
      </c>
      <c r="I411" s="21" t="str">
        <f aca="true">IF($A411="","",IF(H411&lt;=0,"Paid",IF(F411&lt;TODAY(),"OVERDUE",IF(G411&gt;0,"Part paid","Open"))))</f>
        <v/>
      </c>
      <c r="J411" s="22" t="str">
        <f aca="true">IF($A411="","",IF(AND(H411&gt;0,F411&lt;TODAY()),TODAY()-F411,0))</f>
        <v/>
      </c>
    </row>
    <row r="412" customFormat="false" ht="15" hidden="false" customHeight="false" outlineLevel="0" collapsed="false">
      <c r="A412" s="5"/>
      <c r="B412" s="19"/>
      <c r="C412" s="5"/>
      <c r="D412" s="5"/>
      <c r="E412" s="4"/>
      <c r="F412" s="19"/>
      <c r="G412" s="16" t="str">
        <f aca="false">IF($A412="","",SUMIFS('Cash Book'!$D$5:$D$504,'Cash Book'!$G$5:$G$504,$A412))</f>
        <v/>
      </c>
      <c r="H412" s="16" t="str">
        <f aca="false">IF($A412="","",E412-G412)</f>
        <v/>
      </c>
      <c r="I412" s="21" t="str">
        <f aca="true">IF($A412="","",IF(H412&lt;=0,"Paid",IF(F412&lt;TODAY(),"OVERDUE",IF(G412&gt;0,"Part paid","Open"))))</f>
        <v/>
      </c>
      <c r="J412" s="22" t="str">
        <f aca="true">IF($A412="","",IF(AND(H412&gt;0,F412&lt;TODAY()),TODAY()-F412,0))</f>
        <v/>
      </c>
    </row>
    <row r="413" customFormat="false" ht="15" hidden="false" customHeight="false" outlineLevel="0" collapsed="false">
      <c r="A413" s="5"/>
      <c r="B413" s="19"/>
      <c r="C413" s="5"/>
      <c r="D413" s="5"/>
      <c r="E413" s="4"/>
      <c r="F413" s="19"/>
      <c r="G413" s="16" t="str">
        <f aca="false">IF($A413="","",SUMIFS('Cash Book'!$D$5:$D$504,'Cash Book'!$G$5:$G$504,$A413))</f>
        <v/>
      </c>
      <c r="H413" s="16" t="str">
        <f aca="false">IF($A413="","",E413-G413)</f>
        <v/>
      </c>
      <c r="I413" s="21" t="str">
        <f aca="true">IF($A413="","",IF(H413&lt;=0,"Paid",IF(F413&lt;TODAY(),"OVERDUE",IF(G413&gt;0,"Part paid","Open"))))</f>
        <v/>
      </c>
      <c r="J413" s="22" t="str">
        <f aca="true">IF($A413="","",IF(AND(H413&gt;0,F413&lt;TODAY()),TODAY()-F413,0))</f>
        <v/>
      </c>
    </row>
    <row r="414" customFormat="false" ht="15" hidden="false" customHeight="false" outlineLevel="0" collapsed="false">
      <c r="A414" s="5"/>
      <c r="B414" s="19"/>
      <c r="C414" s="5"/>
      <c r="D414" s="5"/>
      <c r="E414" s="4"/>
      <c r="F414" s="19"/>
      <c r="G414" s="16" t="str">
        <f aca="false">IF($A414="","",SUMIFS('Cash Book'!$D$5:$D$504,'Cash Book'!$G$5:$G$504,$A414))</f>
        <v/>
      </c>
      <c r="H414" s="16" t="str">
        <f aca="false">IF($A414="","",E414-G414)</f>
        <v/>
      </c>
      <c r="I414" s="21" t="str">
        <f aca="true">IF($A414="","",IF(H414&lt;=0,"Paid",IF(F414&lt;TODAY(),"OVERDUE",IF(G414&gt;0,"Part paid","Open"))))</f>
        <v/>
      </c>
      <c r="J414" s="22" t="str">
        <f aca="true">IF($A414="","",IF(AND(H414&gt;0,F414&lt;TODAY()),TODAY()-F414,0))</f>
        <v/>
      </c>
    </row>
    <row r="415" customFormat="false" ht="15" hidden="false" customHeight="false" outlineLevel="0" collapsed="false">
      <c r="A415" s="5"/>
      <c r="B415" s="19"/>
      <c r="C415" s="5"/>
      <c r="D415" s="5"/>
      <c r="E415" s="4"/>
      <c r="F415" s="19"/>
      <c r="G415" s="16" t="str">
        <f aca="false">IF($A415="","",SUMIFS('Cash Book'!$D$5:$D$504,'Cash Book'!$G$5:$G$504,$A415))</f>
        <v/>
      </c>
      <c r="H415" s="16" t="str">
        <f aca="false">IF($A415="","",E415-G415)</f>
        <v/>
      </c>
      <c r="I415" s="21" t="str">
        <f aca="true">IF($A415="","",IF(H415&lt;=0,"Paid",IF(F415&lt;TODAY(),"OVERDUE",IF(G415&gt;0,"Part paid","Open"))))</f>
        <v/>
      </c>
      <c r="J415" s="22" t="str">
        <f aca="true">IF($A415="","",IF(AND(H415&gt;0,F415&lt;TODAY()),TODAY()-F415,0))</f>
        <v/>
      </c>
    </row>
    <row r="416" customFormat="false" ht="15" hidden="false" customHeight="false" outlineLevel="0" collapsed="false">
      <c r="A416" s="5"/>
      <c r="B416" s="19"/>
      <c r="C416" s="5"/>
      <c r="D416" s="5"/>
      <c r="E416" s="4"/>
      <c r="F416" s="19"/>
      <c r="G416" s="16" t="str">
        <f aca="false">IF($A416="","",SUMIFS('Cash Book'!$D$5:$D$504,'Cash Book'!$G$5:$G$504,$A416))</f>
        <v/>
      </c>
      <c r="H416" s="16" t="str">
        <f aca="false">IF($A416="","",E416-G416)</f>
        <v/>
      </c>
      <c r="I416" s="21" t="str">
        <f aca="true">IF($A416="","",IF(H416&lt;=0,"Paid",IF(F416&lt;TODAY(),"OVERDUE",IF(G416&gt;0,"Part paid","Open"))))</f>
        <v/>
      </c>
      <c r="J416" s="22" t="str">
        <f aca="true">IF($A416="","",IF(AND(H416&gt;0,F416&lt;TODAY()),TODAY()-F416,0))</f>
        <v/>
      </c>
    </row>
    <row r="417" customFormat="false" ht="15" hidden="false" customHeight="false" outlineLevel="0" collapsed="false">
      <c r="A417" s="5"/>
      <c r="B417" s="19"/>
      <c r="C417" s="5"/>
      <c r="D417" s="5"/>
      <c r="E417" s="4"/>
      <c r="F417" s="19"/>
      <c r="G417" s="16" t="str">
        <f aca="false">IF($A417="","",SUMIFS('Cash Book'!$D$5:$D$504,'Cash Book'!$G$5:$G$504,$A417))</f>
        <v/>
      </c>
      <c r="H417" s="16" t="str">
        <f aca="false">IF($A417="","",E417-G417)</f>
        <v/>
      </c>
      <c r="I417" s="21" t="str">
        <f aca="true">IF($A417="","",IF(H417&lt;=0,"Paid",IF(F417&lt;TODAY(),"OVERDUE",IF(G417&gt;0,"Part paid","Open"))))</f>
        <v/>
      </c>
      <c r="J417" s="22" t="str">
        <f aca="true">IF($A417="","",IF(AND(H417&gt;0,F417&lt;TODAY()),TODAY()-F417,0))</f>
        <v/>
      </c>
    </row>
    <row r="418" customFormat="false" ht="15" hidden="false" customHeight="false" outlineLevel="0" collapsed="false">
      <c r="A418" s="5"/>
      <c r="B418" s="19"/>
      <c r="C418" s="5"/>
      <c r="D418" s="5"/>
      <c r="E418" s="4"/>
      <c r="F418" s="19"/>
      <c r="G418" s="16" t="str">
        <f aca="false">IF($A418="","",SUMIFS('Cash Book'!$D$5:$D$504,'Cash Book'!$G$5:$G$504,$A418))</f>
        <v/>
      </c>
      <c r="H418" s="16" t="str">
        <f aca="false">IF($A418="","",E418-G418)</f>
        <v/>
      </c>
      <c r="I418" s="21" t="str">
        <f aca="true">IF($A418="","",IF(H418&lt;=0,"Paid",IF(F418&lt;TODAY(),"OVERDUE",IF(G418&gt;0,"Part paid","Open"))))</f>
        <v/>
      </c>
      <c r="J418" s="22" t="str">
        <f aca="true">IF($A418="","",IF(AND(H418&gt;0,F418&lt;TODAY()),TODAY()-F418,0))</f>
        <v/>
      </c>
    </row>
    <row r="419" customFormat="false" ht="15" hidden="false" customHeight="false" outlineLevel="0" collapsed="false">
      <c r="A419" s="5"/>
      <c r="B419" s="19"/>
      <c r="C419" s="5"/>
      <c r="D419" s="5"/>
      <c r="E419" s="4"/>
      <c r="F419" s="19"/>
      <c r="G419" s="16" t="str">
        <f aca="false">IF($A419="","",SUMIFS('Cash Book'!$D$5:$D$504,'Cash Book'!$G$5:$G$504,$A419))</f>
        <v/>
      </c>
      <c r="H419" s="16" t="str">
        <f aca="false">IF($A419="","",E419-G419)</f>
        <v/>
      </c>
      <c r="I419" s="21" t="str">
        <f aca="true">IF($A419="","",IF(H419&lt;=0,"Paid",IF(F419&lt;TODAY(),"OVERDUE",IF(G419&gt;0,"Part paid","Open"))))</f>
        <v/>
      </c>
      <c r="J419" s="22" t="str">
        <f aca="true">IF($A419="","",IF(AND(H419&gt;0,F419&lt;TODAY()),TODAY()-F419,0))</f>
        <v/>
      </c>
    </row>
    <row r="420" customFormat="false" ht="15" hidden="false" customHeight="false" outlineLevel="0" collapsed="false">
      <c r="A420" s="5"/>
      <c r="B420" s="19"/>
      <c r="C420" s="5"/>
      <c r="D420" s="5"/>
      <c r="E420" s="4"/>
      <c r="F420" s="19"/>
      <c r="G420" s="16" t="str">
        <f aca="false">IF($A420="","",SUMIFS('Cash Book'!$D$5:$D$504,'Cash Book'!$G$5:$G$504,$A420))</f>
        <v/>
      </c>
      <c r="H420" s="16" t="str">
        <f aca="false">IF($A420="","",E420-G420)</f>
        <v/>
      </c>
      <c r="I420" s="21" t="str">
        <f aca="true">IF($A420="","",IF(H420&lt;=0,"Paid",IF(F420&lt;TODAY(),"OVERDUE",IF(G420&gt;0,"Part paid","Open"))))</f>
        <v/>
      </c>
      <c r="J420" s="22" t="str">
        <f aca="true">IF($A420="","",IF(AND(H420&gt;0,F420&lt;TODAY()),TODAY()-F420,0))</f>
        <v/>
      </c>
    </row>
    <row r="421" customFormat="false" ht="15" hidden="false" customHeight="false" outlineLevel="0" collapsed="false">
      <c r="A421" s="5"/>
      <c r="B421" s="19"/>
      <c r="C421" s="5"/>
      <c r="D421" s="5"/>
      <c r="E421" s="4"/>
      <c r="F421" s="19"/>
      <c r="G421" s="16" t="str">
        <f aca="false">IF($A421="","",SUMIFS('Cash Book'!$D$5:$D$504,'Cash Book'!$G$5:$G$504,$A421))</f>
        <v/>
      </c>
      <c r="H421" s="16" t="str">
        <f aca="false">IF($A421="","",E421-G421)</f>
        <v/>
      </c>
      <c r="I421" s="21" t="str">
        <f aca="true">IF($A421="","",IF(H421&lt;=0,"Paid",IF(F421&lt;TODAY(),"OVERDUE",IF(G421&gt;0,"Part paid","Open"))))</f>
        <v/>
      </c>
      <c r="J421" s="22" t="str">
        <f aca="true">IF($A421="","",IF(AND(H421&gt;0,F421&lt;TODAY()),TODAY()-F421,0))</f>
        <v/>
      </c>
    </row>
    <row r="422" customFormat="false" ht="15" hidden="false" customHeight="false" outlineLevel="0" collapsed="false">
      <c r="A422" s="5"/>
      <c r="B422" s="19"/>
      <c r="C422" s="5"/>
      <c r="D422" s="5"/>
      <c r="E422" s="4"/>
      <c r="F422" s="19"/>
      <c r="G422" s="16" t="str">
        <f aca="false">IF($A422="","",SUMIFS('Cash Book'!$D$5:$D$504,'Cash Book'!$G$5:$G$504,$A422))</f>
        <v/>
      </c>
      <c r="H422" s="16" t="str">
        <f aca="false">IF($A422="","",E422-G422)</f>
        <v/>
      </c>
      <c r="I422" s="21" t="str">
        <f aca="true">IF($A422="","",IF(H422&lt;=0,"Paid",IF(F422&lt;TODAY(),"OVERDUE",IF(G422&gt;0,"Part paid","Open"))))</f>
        <v/>
      </c>
      <c r="J422" s="22" t="str">
        <f aca="true">IF($A422="","",IF(AND(H422&gt;0,F422&lt;TODAY()),TODAY()-F422,0))</f>
        <v/>
      </c>
    </row>
    <row r="423" customFormat="false" ht="15" hidden="false" customHeight="false" outlineLevel="0" collapsed="false">
      <c r="A423" s="5"/>
      <c r="B423" s="19"/>
      <c r="C423" s="5"/>
      <c r="D423" s="5"/>
      <c r="E423" s="4"/>
      <c r="F423" s="19"/>
      <c r="G423" s="16" t="str">
        <f aca="false">IF($A423="","",SUMIFS('Cash Book'!$D$5:$D$504,'Cash Book'!$G$5:$G$504,$A423))</f>
        <v/>
      </c>
      <c r="H423" s="16" t="str">
        <f aca="false">IF($A423="","",E423-G423)</f>
        <v/>
      </c>
      <c r="I423" s="21" t="str">
        <f aca="true">IF($A423="","",IF(H423&lt;=0,"Paid",IF(F423&lt;TODAY(),"OVERDUE",IF(G423&gt;0,"Part paid","Open"))))</f>
        <v/>
      </c>
      <c r="J423" s="22" t="str">
        <f aca="true">IF($A423="","",IF(AND(H423&gt;0,F423&lt;TODAY()),TODAY()-F423,0))</f>
        <v/>
      </c>
    </row>
    <row r="424" customFormat="false" ht="15" hidden="false" customHeight="false" outlineLevel="0" collapsed="false">
      <c r="A424" s="5"/>
      <c r="B424" s="19"/>
      <c r="C424" s="5"/>
      <c r="D424" s="5"/>
      <c r="E424" s="4"/>
      <c r="F424" s="19"/>
      <c r="G424" s="16" t="str">
        <f aca="false">IF($A424="","",SUMIFS('Cash Book'!$D$5:$D$504,'Cash Book'!$G$5:$G$504,$A424))</f>
        <v/>
      </c>
      <c r="H424" s="16" t="str">
        <f aca="false">IF($A424="","",E424-G424)</f>
        <v/>
      </c>
      <c r="I424" s="21" t="str">
        <f aca="true">IF($A424="","",IF(H424&lt;=0,"Paid",IF(F424&lt;TODAY(),"OVERDUE",IF(G424&gt;0,"Part paid","Open"))))</f>
        <v/>
      </c>
      <c r="J424" s="22" t="str">
        <f aca="true">IF($A424="","",IF(AND(H424&gt;0,F424&lt;TODAY()),TODAY()-F424,0))</f>
        <v/>
      </c>
    </row>
    <row r="425" customFormat="false" ht="15" hidden="false" customHeight="false" outlineLevel="0" collapsed="false">
      <c r="A425" s="5"/>
      <c r="B425" s="19"/>
      <c r="C425" s="5"/>
      <c r="D425" s="5"/>
      <c r="E425" s="4"/>
      <c r="F425" s="19"/>
      <c r="G425" s="16" t="str">
        <f aca="false">IF($A425="","",SUMIFS('Cash Book'!$D$5:$D$504,'Cash Book'!$G$5:$G$504,$A425))</f>
        <v/>
      </c>
      <c r="H425" s="16" t="str">
        <f aca="false">IF($A425="","",E425-G425)</f>
        <v/>
      </c>
      <c r="I425" s="21" t="str">
        <f aca="true">IF($A425="","",IF(H425&lt;=0,"Paid",IF(F425&lt;TODAY(),"OVERDUE",IF(G425&gt;0,"Part paid","Open"))))</f>
        <v/>
      </c>
      <c r="J425" s="22" t="str">
        <f aca="true">IF($A425="","",IF(AND(H425&gt;0,F425&lt;TODAY()),TODAY()-F425,0))</f>
        <v/>
      </c>
    </row>
    <row r="426" customFormat="false" ht="15" hidden="false" customHeight="false" outlineLevel="0" collapsed="false">
      <c r="A426" s="5"/>
      <c r="B426" s="19"/>
      <c r="C426" s="5"/>
      <c r="D426" s="5"/>
      <c r="E426" s="4"/>
      <c r="F426" s="19"/>
      <c r="G426" s="16" t="str">
        <f aca="false">IF($A426="","",SUMIFS('Cash Book'!$D$5:$D$504,'Cash Book'!$G$5:$G$504,$A426))</f>
        <v/>
      </c>
      <c r="H426" s="16" t="str">
        <f aca="false">IF($A426="","",E426-G426)</f>
        <v/>
      </c>
      <c r="I426" s="21" t="str">
        <f aca="true">IF($A426="","",IF(H426&lt;=0,"Paid",IF(F426&lt;TODAY(),"OVERDUE",IF(G426&gt;0,"Part paid","Open"))))</f>
        <v/>
      </c>
      <c r="J426" s="22" t="str">
        <f aca="true">IF($A426="","",IF(AND(H426&gt;0,F426&lt;TODAY()),TODAY()-F426,0))</f>
        <v/>
      </c>
    </row>
    <row r="427" customFormat="false" ht="15" hidden="false" customHeight="false" outlineLevel="0" collapsed="false">
      <c r="A427" s="5"/>
      <c r="B427" s="19"/>
      <c r="C427" s="5"/>
      <c r="D427" s="5"/>
      <c r="E427" s="4"/>
      <c r="F427" s="19"/>
      <c r="G427" s="16" t="str">
        <f aca="false">IF($A427="","",SUMIFS('Cash Book'!$D$5:$D$504,'Cash Book'!$G$5:$G$504,$A427))</f>
        <v/>
      </c>
      <c r="H427" s="16" t="str">
        <f aca="false">IF($A427="","",E427-G427)</f>
        <v/>
      </c>
      <c r="I427" s="21" t="str">
        <f aca="true">IF($A427="","",IF(H427&lt;=0,"Paid",IF(F427&lt;TODAY(),"OVERDUE",IF(G427&gt;0,"Part paid","Open"))))</f>
        <v/>
      </c>
      <c r="J427" s="22" t="str">
        <f aca="true">IF($A427="","",IF(AND(H427&gt;0,F427&lt;TODAY()),TODAY()-F427,0))</f>
        <v/>
      </c>
    </row>
    <row r="428" customFormat="false" ht="15" hidden="false" customHeight="false" outlineLevel="0" collapsed="false">
      <c r="A428" s="5"/>
      <c r="B428" s="19"/>
      <c r="C428" s="5"/>
      <c r="D428" s="5"/>
      <c r="E428" s="4"/>
      <c r="F428" s="19"/>
      <c r="G428" s="16" t="str">
        <f aca="false">IF($A428="","",SUMIFS('Cash Book'!$D$5:$D$504,'Cash Book'!$G$5:$G$504,$A428))</f>
        <v/>
      </c>
      <c r="H428" s="16" t="str">
        <f aca="false">IF($A428="","",E428-G428)</f>
        <v/>
      </c>
      <c r="I428" s="21" t="str">
        <f aca="true">IF($A428="","",IF(H428&lt;=0,"Paid",IF(F428&lt;TODAY(),"OVERDUE",IF(G428&gt;0,"Part paid","Open"))))</f>
        <v/>
      </c>
      <c r="J428" s="22" t="str">
        <f aca="true">IF($A428="","",IF(AND(H428&gt;0,F428&lt;TODAY()),TODAY()-F428,0))</f>
        <v/>
      </c>
    </row>
    <row r="429" customFormat="false" ht="15" hidden="false" customHeight="false" outlineLevel="0" collapsed="false">
      <c r="A429" s="5"/>
      <c r="B429" s="19"/>
      <c r="C429" s="5"/>
      <c r="D429" s="5"/>
      <c r="E429" s="4"/>
      <c r="F429" s="19"/>
      <c r="G429" s="16" t="str">
        <f aca="false">IF($A429="","",SUMIFS('Cash Book'!$D$5:$D$504,'Cash Book'!$G$5:$G$504,$A429))</f>
        <v/>
      </c>
      <c r="H429" s="16" t="str">
        <f aca="false">IF($A429="","",E429-G429)</f>
        <v/>
      </c>
      <c r="I429" s="21" t="str">
        <f aca="true">IF($A429="","",IF(H429&lt;=0,"Paid",IF(F429&lt;TODAY(),"OVERDUE",IF(G429&gt;0,"Part paid","Open"))))</f>
        <v/>
      </c>
      <c r="J429" s="22" t="str">
        <f aca="true">IF($A429="","",IF(AND(H429&gt;0,F429&lt;TODAY()),TODAY()-F429,0))</f>
        <v/>
      </c>
    </row>
    <row r="430" customFormat="false" ht="15" hidden="false" customHeight="false" outlineLevel="0" collapsed="false">
      <c r="A430" s="5"/>
      <c r="B430" s="19"/>
      <c r="C430" s="5"/>
      <c r="D430" s="5"/>
      <c r="E430" s="4"/>
      <c r="F430" s="19"/>
      <c r="G430" s="16" t="str">
        <f aca="false">IF($A430="","",SUMIFS('Cash Book'!$D$5:$D$504,'Cash Book'!$G$5:$G$504,$A430))</f>
        <v/>
      </c>
      <c r="H430" s="16" t="str">
        <f aca="false">IF($A430="","",E430-G430)</f>
        <v/>
      </c>
      <c r="I430" s="21" t="str">
        <f aca="true">IF($A430="","",IF(H430&lt;=0,"Paid",IF(F430&lt;TODAY(),"OVERDUE",IF(G430&gt;0,"Part paid","Open"))))</f>
        <v/>
      </c>
      <c r="J430" s="22" t="str">
        <f aca="true">IF($A430="","",IF(AND(H430&gt;0,F430&lt;TODAY()),TODAY()-F430,0))</f>
        <v/>
      </c>
    </row>
    <row r="431" customFormat="false" ht="15" hidden="false" customHeight="false" outlineLevel="0" collapsed="false">
      <c r="A431" s="5"/>
      <c r="B431" s="19"/>
      <c r="C431" s="5"/>
      <c r="D431" s="5"/>
      <c r="E431" s="4"/>
      <c r="F431" s="19"/>
      <c r="G431" s="16" t="str">
        <f aca="false">IF($A431="","",SUMIFS('Cash Book'!$D$5:$D$504,'Cash Book'!$G$5:$G$504,$A431))</f>
        <v/>
      </c>
      <c r="H431" s="16" t="str">
        <f aca="false">IF($A431="","",E431-G431)</f>
        <v/>
      </c>
      <c r="I431" s="21" t="str">
        <f aca="true">IF($A431="","",IF(H431&lt;=0,"Paid",IF(F431&lt;TODAY(),"OVERDUE",IF(G431&gt;0,"Part paid","Open"))))</f>
        <v/>
      </c>
      <c r="J431" s="22" t="str">
        <f aca="true">IF($A431="","",IF(AND(H431&gt;0,F431&lt;TODAY()),TODAY()-F431,0))</f>
        <v/>
      </c>
    </row>
    <row r="432" customFormat="false" ht="15" hidden="false" customHeight="false" outlineLevel="0" collapsed="false">
      <c r="A432" s="5"/>
      <c r="B432" s="19"/>
      <c r="C432" s="5"/>
      <c r="D432" s="5"/>
      <c r="E432" s="4"/>
      <c r="F432" s="19"/>
      <c r="G432" s="16" t="str">
        <f aca="false">IF($A432="","",SUMIFS('Cash Book'!$D$5:$D$504,'Cash Book'!$G$5:$G$504,$A432))</f>
        <v/>
      </c>
      <c r="H432" s="16" t="str">
        <f aca="false">IF($A432="","",E432-G432)</f>
        <v/>
      </c>
      <c r="I432" s="21" t="str">
        <f aca="true">IF($A432="","",IF(H432&lt;=0,"Paid",IF(F432&lt;TODAY(),"OVERDUE",IF(G432&gt;0,"Part paid","Open"))))</f>
        <v/>
      </c>
      <c r="J432" s="22" t="str">
        <f aca="true">IF($A432="","",IF(AND(H432&gt;0,F432&lt;TODAY()),TODAY()-F432,0))</f>
        <v/>
      </c>
    </row>
    <row r="433" customFormat="false" ht="15" hidden="false" customHeight="false" outlineLevel="0" collapsed="false">
      <c r="A433" s="5"/>
      <c r="B433" s="19"/>
      <c r="C433" s="5"/>
      <c r="D433" s="5"/>
      <c r="E433" s="4"/>
      <c r="F433" s="19"/>
      <c r="G433" s="16" t="str">
        <f aca="false">IF($A433="","",SUMIFS('Cash Book'!$D$5:$D$504,'Cash Book'!$G$5:$G$504,$A433))</f>
        <v/>
      </c>
      <c r="H433" s="16" t="str">
        <f aca="false">IF($A433="","",E433-G433)</f>
        <v/>
      </c>
      <c r="I433" s="21" t="str">
        <f aca="true">IF($A433="","",IF(H433&lt;=0,"Paid",IF(F433&lt;TODAY(),"OVERDUE",IF(G433&gt;0,"Part paid","Open"))))</f>
        <v/>
      </c>
      <c r="J433" s="22" t="str">
        <f aca="true">IF($A433="","",IF(AND(H433&gt;0,F433&lt;TODAY()),TODAY()-F433,0))</f>
        <v/>
      </c>
    </row>
    <row r="434" customFormat="false" ht="15" hidden="false" customHeight="false" outlineLevel="0" collapsed="false">
      <c r="A434" s="5"/>
      <c r="B434" s="19"/>
      <c r="C434" s="5"/>
      <c r="D434" s="5"/>
      <c r="E434" s="4"/>
      <c r="F434" s="19"/>
      <c r="G434" s="16" t="str">
        <f aca="false">IF($A434="","",SUMIFS('Cash Book'!$D$5:$D$504,'Cash Book'!$G$5:$G$504,$A434))</f>
        <v/>
      </c>
      <c r="H434" s="16" t="str">
        <f aca="false">IF($A434="","",E434-G434)</f>
        <v/>
      </c>
      <c r="I434" s="21" t="str">
        <f aca="true">IF($A434="","",IF(H434&lt;=0,"Paid",IF(F434&lt;TODAY(),"OVERDUE",IF(G434&gt;0,"Part paid","Open"))))</f>
        <v/>
      </c>
      <c r="J434" s="22" t="str">
        <f aca="true">IF($A434="","",IF(AND(H434&gt;0,F434&lt;TODAY()),TODAY()-F434,0))</f>
        <v/>
      </c>
    </row>
    <row r="435" customFormat="false" ht="15" hidden="false" customHeight="false" outlineLevel="0" collapsed="false">
      <c r="A435" s="5"/>
      <c r="B435" s="19"/>
      <c r="C435" s="5"/>
      <c r="D435" s="5"/>
      <c r="E435" s="4"/>
      <c r="F435" s="19"/>
      <c r="G435" s="16" t="str">
        <f aca="false">IF($A435="","",SUMIFS('Cash Book'!$D$5:$D$504,'Cash Book'!$G$5:$G$504,$A435))</f>
        <v/>
      </c>
      <c r="H435" s="16" t="str">
        <f aca="false">IF($A435="","",E435-G435)</f>
        <v/>
      </c>
      <c r="I435" s="21" t="str">
        <f aca="true">IF($A435="","",IF(H435&lt;=0,"Paid",IF(F435&lt;TODAY(),"OVERDUE",IF(G435&gt;0,"Part paid","Open"))))</f>
        <v/>
      </c>
      <c r="J435" s="22" t="str">
        <f aca="true">IF($A435="","",IF(AND(H435&gt;0,F435&lt;TODAY()),TODAY()-F435,0))</f>
        <v/>
      </c>
    </row>
    <row r="436" customFormat="false" ht="15" hidden="false" customHeight="false" outlineLevel="0" collapsed="false">
      <c r="A436" s="5"/>
      <c r="B436" s="19"/>
      <c r="C436" s="5"/>
      <c r="D436" s="5"/>
      <c r="E436" s="4"/>
      <c r="F436" s="19"/>
      <c r="G436" s="16" t="str">
        <f aca="false">IF($A436="","",SUMIFS('Cash Book'!$D$5:$D$504,'Cash Book'!$G$5:$G$504,$A436))</f>
        <v/>
      </c>
      <c r="H436" s="16" t="str">
        <f aca="false">IF($A436="","",E436-G436)</f>
        <v/>
      </c>
      <c r="I436" s="21" t="str">
        <f aca="true">IF($A436="","",IF(H436&lt;=0,"Paid",IF(F436&lt;TODAY(),"OVERDUE",IF(G436&gt;0,"Part paid","Open"))))</f>
        <v/>
      </c>
      <c r="J436" s="22" t="str">
        <f aca="true">IF($A436="","",IF(AND(H436&gt;0,F436&lt;TODAY()),TODAY()-F436,0))</f>
        <v/>
      </c>
    </row>
    <row r="437" customFormat="false" ht="15" hidden="false" customHeight="false" outlineLevel="0" collapsed="false">
      <c r="A437" s="5"/>
      <c r="B437" s="19"/>
      <c r="C437" s="5"/>
      <c r="D437" s="5"/>
      <c r="E437" s="4"/>
      <c r="F437" s="19"/>
      <c r="G437" s="16" t="str">
        <f aca="false">IF($A437="","",SUMIFS('Cash Book'!$D$5:$D$504,'Cash Book'!$G$5:$G$504,$A437))</f>
        <v/>
      </c>
      <c r="H437" s="16" t="str">
        <f aca="false">IF($A437="","",E437-G437)</f>
        <v/>
      </c>
      <c r="I437" s="21" t="str">
        <f aca="true">IF($A437="","",IF(H437&lt;=0,"Paid",IF(F437&lt;TODAY(),"OVERDUE",IF(G437&gt;0,"Part paid","Open"))))</f>
        <v/>
      </c>
      <c r="J437" s="22" t="str">
        <f aca="true">IF($A437="","",IF(AND(H437&gt;0,F437&lt;TODAY()),TODAY()-F437,0))</f>
        <v/>
      </c>
    </row>
    <row r="438" customFormat="false" ht="15" hidden="false" customHeight="false" outlineLevel="0" collapsed="false">
      <c r="A438" s="5"/>
      <c r="B438" s="19"/>
      <c r="C438" s="5"/>
      <c r="D438" s="5"/>
      <c r="E438" s="4"/>
      <c r="F438" s="19"/>
      <c r="G438" s="16" t="str">
        <f aca="false">IF($A438="","",SUMIFS('Cash Book'!$D$5:$D$504,'Cash Book'!$G$5:$G$504,$A438))</f>
        <v/>
      </c>
      <c r="H438" s="16" t="str">
        <f aca="false">IF($A438="","",E438-G438)</f>
        <v/>
      </c>
      <c r="I438" s="21" t="str">
        <f aca="true">IF($A438="","",IF(H438&lt;=0,"Paid",IF(F438&lt;TODAY(),"OVERDUE",IF(G438&gt;0,"Part paid","Open"))))</f>
        <v/>
      </c>
      <c r="J438" s="22" t="str">
        <f aca="true">IF($A438="","",IF(AND(H438&gt;0,F438&lt;TODAY()),TODAY()-F438,0))</f>
        <v/>
      </c>
    </row>
    <row r="439" customFormat="false" ht="15" hidden="false" customHeight="false" outlineLevel="0" collapsed="false">
      <c r="A439" s="5"/>
      <c r="B439" s="19"/>
      <c r="C439" s="5"/>
      <c r="D439" s="5"/>
      <c r="E439" s="4"/>
      <c r="F439" s="19"/>
      <c r="G439" s="16" t="str">
        <f aca="false">IF($A439="","",SUMIFS('Cash Book'!$D$5:$D$504,'Cash Book'!$G$5:$G$504,$A439))</f>
        <v/>
      </c>
      <c r="H439" s="16" t="str">
        <f aca="false">IF($A439="","",E439-G439)</f>
        <v/>
      </c>
      <c r="I439" s="21" t="str">
        <f aca="true">IF($A439="","",IF(H439&lt;=0,"Paid",IF(F439&lt;TODAY(),"OVERDUE",IF(G439&gt;0,"Part paid","Open"))))</f>
        <v/>
      </c>
      <c r="J439" s="22" t="str">
        <f aca="true">IF($A439="","",IF(AND(H439&gt;0,F439&lt;TODAY()),TODAY()-F439,0))</f>
        <v/>
      </c>
    </row>
    <row r="440" customFormat="false" ht="15" hidden="false" customHeight="false" outlineLevel="0" collapsed="false">
      <c r="A440" s="5"/>
      <c r="B440" s="19"/>
      <c r="C440" s="5"/>
      <c r="D440" s="5"/>
      <c r="E440" s="4"/>
      <c r="F440" s="19"/>
      <c r="G440" s="16" t="str">
        <f aca="false">IF($A440="","",SUMIFS('Cash Book'!$D$5:$D$504,'Cash Book'!$G$5:$G$504,$A440))</f>
        <v/>
      </c>
      <c r="H440" s="16" t="str">
        <f aca="false">IF($A440="","",E440-G440)</f>
        <v/>
      </c>
      <c r="I440" s="21" t="str">
        <f aca="true">IF($A440="","",IF(H440&lt;=0,"Paid",IF(F440&lt;TODAY(),"OVERDUE",IF(G440&gt;0,"Part paid","Open"))))</f>
        <v/>
      </c>
      <c r="J440" s="22" t="str">
        <f aca="true">IF($A440="","",IF(AND(H440&gt;0,F440&lt;TODAY()),TODAY()-F440,0))</f>
        <v/>
      </c>
    </row>
    <row r="441" customFormat="false" ht="15" hidden="false" customHeight="false" outlineLevel="0" collapsed="false">
      <c r="A441" s="5"/>
      <c r="B441" s="19"/>
      <c r="C441" s="5"/>
      <c r="D441" s="5"/>
      <c r="E441" s="4"/>
      <c r="F441" s="19"/>
      <c r="G441" s="16" t="str">
        <f aca="false">IF($A441="","",SUMIFS('Cash Book'!$D$5:$D$504,'Cash Book'!$G$5:$G$504,$A441))</f>
        <v/>
      </c>
      <c r="H441" s="16" t="str">
        <f aca="false">IF($A441="","",E441-G441)</f>
        <v/>
      </c>
      <c r="I441" s="21" t="str">
        <f aca="true">IF($A441="","",IF(H441&lt;=0,"Paid",IF(F441&lt;TODAY(),"OVERDUE",IF(G441&gt;0,"Part paid","Open"))))</f>
        <v/>
      </c>
      <c r="J441" s="22" t="str">
        <f aca="true">IF($A441="","",IF(AND(H441&gt;0,F441&lt;TODAY()),TODAY()-F441,0))</f>
        <v/>
      </c>
    </row>
    <row r="442" customFormat="false" ht="15" hidden="false" customHeight="false" outlineLevel="0" collapsed="false">
      <c r="A442" s="5"/>
      <c r="B442" s="19"/>
      <c r="C442" s="5"/>
      <c r="D442" s="5"/>
      <c r="E442" s="4"/>
      <c r="F442" s="19"/>
      <c r="G442" s="16" t="str">
        <f aca="false">IF($A442="","",SUMIFS('Cash Book'!$D$5:$D$504,'Cash Book'!$G$5:$G$504,$A442))</f>
        <v/>
      </c>
      <c r="H442" s="16" t="str">
        <f aca="false">IF($A442="","",E442-G442)</f>
        <v/>
      </c>
      <c r="I442" s="21" t="str">
        <f aca="true">IF($A442="","",IF(H442&lt;=0,"Paid",IF(F442&lt;TODAY(),"OVERDUE",IF(G442&gt;0,"Part paid","Open"))))</f>
        <v/>
      </c>
      <c r="J442" s="22" t="str">
        <f aca="true">IF($A442="","",IF(AND(H442&gt;0,F442&lt;TODAY()),TODAY()-F442,0))</f>
        <v/>
      </c>
    </row>
    <row r="443" customFormat="false" ht="15" hidden="false" customHeight="false" outlineLevel="0" collapsed="false">
      <c r="A443" s="5"/>
      <c r="B443" s="19"/>
      <c r="C443" s="5"/>
      <c r="D443" s="5"/>
      <c r="E443" s="4"/>
      <c r="F443" s="19"/>
      <c r="G443" s="16" t="str">
        <f aca="false">IF($A443="","",SUMIFS('Cash Book'!$D$5:$D$504,'Cash Book'!$G$5:$G$504,$A443))</f>
        <v/>
      </c>
      <c r="H443" s="16" t="str">
        <f aca="false">IF($A443="","",E443-G443)</f>
        <v/>
      </c>
      <c r="I443" s="21" t="str">
        <f aca="true">IF($A443="","",IF(H443&lt;=0,"Paid",IF(F443&lt;TODAY(),"OVERDUE",IF(G443&gt;0,"Part paid","Open"))))</f>
        <v/>
      </c>
      <c r="J443" s="22" t="str">
        <f aca="true">IF($A443="","",IF(AND(H443&gt;0,F443&lt;TODAY()),TODAY()-F443,0))</f>
        <v/>
      </c>
    </row>
    <row r="444" customFormat="false" ht="15" hidden="false" customHeight="false" outlineLevel="0" collapsed="false">
      <c r="A444" s="5"/>
      <c r="B444" s="19"/>
      <c r="C444" s="5"/>
      <c r="D444" s="5"/>
      <c r="E444" s="4"/>
      <c r="F444" s="19"/>
      <c r="G444" s="16" t="str">
        <f aca="false">IF($A444="","",SUMIFS('Cash Book'!$D$5:$D$504,'Cash Book'!$G$5:$G$504,$A444))</f>
        <v/>
      </c>
      <c r="H444" s="16" t="str">
        <f aca="false">IF($A444="","",E444-G444)</f>
        <v/>
      </c>
      <c r="I444" s="21" t="str">
        <f aca="true">IF($A444="","",IF(H444&lt;=0,"Paid",IF(F444&lt;TODAY(),"OVERDUE",IF(G444&gt;0,"Part paid","Open"))))</f>
        <v/>
      </c>
      <c r="J444" s="22" t="str">
        <f aca="true">IF($A444="","",IF(AND(H444&gt;0,F444&lt;TODAY()),TODAY()-F444,0))</f>
        <v/>
      </c>
    </row>
    <row r="445" customFormat="false" ht="15" hidden="false" customHeight="false" outlineLevel="0" collapsed="false">
      <c r="A445" s="5"/>
      <c r="B445" s="19"/>
      <c r="C445" s="5"/>
      <c r="D445" s="5"/>
      <c r="E445" s="4"/>
      <c r="F445" s="19"/>
      <c r="G445" s="16" t="str">
        <f aca="false">IF($A445="","",SUMIFS('Cash Book'!$D$5:$D$504,'Cash Book'!$G$5:$G$504,$A445))</f>
        <v/>
      </c>
      <c r="H445" s="16" t="str">
        <f aca="false">IF($A445="","",E445-G445)</f>
        <v/>
      </c>
      <c r="I445" s="21" t="str">
        <f aca="true">IF($A445="","",IF(H445&lt;=0,"Paid",IF(F445&lt;TODAY(),"OVERDUE",IF(G445&gt;0,"Part paid","Open"))))</f>
        <v/>
      </c>
      <c r="J445" s="22" t="str">
        <f aca="true">IF($A445="","",IF(AND(H445&gt;0,F445&lt;TODAY()),TODAY()-F445,0))</f>
        <v/>
      </c>
    </row>
    <row r="446" customFormat="false" ht="15" hidden="false" customHeight="false" outlineLevel="0" collapsed="false">
      <c r="A446" s="5"/>
      <c r="B446" s="19"/>
      <c r="C446" s="5"/>
      <c r="D446" s="5"/>
      <c r="E446" s="4"/>
      <c r="F446" s="19"/>
      <c r="G446" s="16" t="str">
        <f aca="false">IF($A446="","",SUMIFS('Cash Book'!$D$5:$D$504,'Cash Book'!$G$5:$G$504,$A446))</f>
        <v/>
      </c>
      <c r="H446" s="16" t="str">
        <f aca="false">IF($A446="","",E446-G446)</f>
        <v/>
      </c>
      <c r="I446" s="21" t="str">
        <f aca="true">IF($A446="","",IF(H446&lt;=0,"Paid",IF(F446&lt;TODAY(),"OVERDUE",IF(G446&gt;0,"Part paid","Open"))))</f>
        <v/>
      </c>
      <c r="J446" s="22" t="str">
        <f aca="true">IF($A446="","",IF(AND(H446&gt;0,F446&lt;TODAY()),TODAY()-F446,0))</f>
        <v/>
      </c>
    </row>
    <row r="447" customFormat="false" ht="15" hidden="false" customHeight="false" outlineLevel="0" collapsed="false">
      <c r="A447" s="5"/>
      <c r="B447" s="19"/>
      <c r="C447" s="5"/>
      <c r="D447" s="5"/>
      <c r="E447" s="4"/>
      <c r="F447" s="19"/>
      <c r="G447" s="16" t="str">
        <f aca="false">IF($A447="","",SUMIFS('Cash Book'!$D$5:$D$504,'Cash Book'!$G$5:$G$504,$A447))</f>
        <v/>
      </c>
      <c r="H447" s="16" t="str">
        <f aca="false">IF($A447="","",E447-G447)</f>
        <v/>
      </c>
      <c r="I447" s="21" t="str">
        <f aca="true">IF($A447="","",IF(H447&lt;=0,"Paid",IF(F447&lt;TODAY(),"OVERDUE",IF(G447&gt;0,"Part paid","Open"))))</f>
        <v/>
      </c>
      <c r="J447" s="22" t="str">
        <f aca="true">IF($A447="","",IF(AND(H447&gt;0,F447&lt;TODAY()),TODAY()-F447,0))</f>
        <v/>
      </c>
    </row>
    <row r="448" customFormat="false" ht="15" hidden="false" customHeight="false" outlineLevel="0" collapsed="false">
      <c r="A448" s="5"/>
      <c r="B448" s="19"/>
      <c r="C448" s="5"/>
      <c r="D448" s="5"/>
      <c r="E448" s="4"/>
      <c r="F448" s="19"/>
      <c r="G448" s="16" t="str">
        <f aca="false">IF($A448="","",SUMIFS('Cash Book'!$D$5:$D$504,'Cash Book'!$G$5:$G$504,$A448))</f>
        <v/>
      </c>
      <c r="H448" s="16" t="str">
        <f aca="false">IF($A448="","",E448-G448)</f>
        <v/>
      </c>
      <c r="I448" s="21" t="str">
        <f aca="true">IF($A448="","",IF(H448&lt;=0,"Paid",IF(F448&lt;TODAY(),"OVERDUE",IF(G448&gt;0,"Part paid","Open"))))</f>
        <v/>
      </c>
      <c r="J448" s="22" t="str">
        <f aca="true">IF($A448="","",IF(AND(H448&gt;0,F448&lt;TODAY()),TODAY()-F448,0))</f>
        <v/>
      </c>
    </row>
    <row r="449" customFormat="false" ht="15" hidden="false" customHeight="false" outlineLevel="0" collapsed="false">
      <c r="A449" s="5"/>
      <c r="B449" s="19"/>
      <c r="C449" s="5"/>
      <c r="D449" s="5"/>
      <c r="E449" s="4"/>
      <c r="F449" s="19"/>
      <c r="G449" s="16" t="str">
        <f aca="false">IF($A449="","",SUMIFS('Cash Book'!$D$5:$D$504,'Cash Book'!$G$5:$G$504,$A449))</f>
        <v/>
      </c>
      <c r="H449" s="16" t="str">
        <f aca="false">IF($A449="","",E449-G449)</f>
        <v/>
      </c>
      <c r="I449" s="21" t="str">
        <f aca="true">IF($A449="","",IF(H449&lt;=0,"Paid",IF(F449&lt;TODAY(),"OVERDUE",IF(G449&gt;0,"Part paid","Open"))))</f>
        <v/>
      </c>
      <c r="J449" s="22" t="str">
        <f aca="true">IF($A449="","",IF(AND(H449&gt;0,F449&lt;TODAY()),TODAY()-F449,0))</f>
        <v/>
      </c>
    </row>
    <row r="450" customFormat="false" ht="15" hidden="false" customHeight="false" outlineLevel="0" collapsed="false">
      <c r="A450" s="5"/>
      <c r="B450" s="19"/>
      <c r="C450" s="5"/>
      <c r="D450" s="5"/>
      <c r="E450" s="4"/>
      <c r="F450" s="19"/>
      <c r="G450" s="16" t="str">
        <f aca="false">IF($A450="","",SUMIFS('Cash Book'!$D$5:$D$504,'Cash Book'!$G$5:$G$504,$A450))</f>
        <v/>
      </c>
      <c r="H450" s="16" t="str">
        <f aca="false">IF($A450="","",E450-G450)</f>
        <v/>
      </c>
      <c r="I450" s="21" t="str">
        <f aca="true">IF($A450="","",IF(H450&lt;=0,"Paid",IF(F450&lt;TODAY(),"OVERDUE",IF(G450&gt;0,"Part paid","Open"))))</f>
        <v/>
      </c>
      <c r="J450" s="22" t="str">
        <f aca="true">IF($A450="","",IF(AND(H450&gt;0,F450&lt;TODAY()),TODAY()-F450,0))</f>
        <v/>
      </c>
    </row>
    <row r="451" customFormat="false" ht="15" hidden="false" customHeight="false" outlineLevel="0" collapsed="false">
      <c r="A451" s="5"/>
      <c r="B451" s="19"/>
      <c r="C451" s="5"/>
      <c r="D451" s="5"/>
      <c r="E451" s="4"/>
      <c r="F451" s="19"/>
      <c r="G451" s="16" t="str">
        <f aca="false">IF($A451="","",SUMIFS('Cash Book'!$D$5:$D$504,'Cash Book'!$G$5:$G$504,$A451))</f>
        <v/>
      </c>
      <c r="H451" s="16" t="str">
        <f aca="false">IF($A451="","",E451-G451)</f>
        <v/>
      </c>
      <c r="I451" s="21" t="str">
        <f aca="true">IF($A451="","",IF(H451&lt;=0,"Paid",IF(F451&lt;TODAY(),"OVERDUE",IF(G451&gt;0,"Part paid","Open"))))</f>
        <v/>
      </c>
      <c r="J451" s="22" t="str">
        <f aca="true">IF($A451="","",IF(AND(H451&gt;0,F451&lt;TODAY()),TODAY()-F451,0))</f>
        <v/>
      </c>
    </row>
    <row r="452" customFormat="false" ht="15" hidden="false" customHeight="false" outlineLevel="0" collapsed="false">
      <c r="A452" s="5"/>
      <c r="B452" s="19"/>
      <c r="C452" s="5"/>
      <c r="D452" s="5"/>
      <c r="E452" s="4"/>
      <c r="F452" s="19"/>
      <c r="G452" s="16" t="str">
        <f aca="false">IF($A452="","",SUMIFS('Cash Book'!$D$5:$D$504,'Cash Book'!$G$5:$G$504,$A452))</f>
        <v/>
      </c>
      <c r="H452" s="16" t="str">
        <f aca="false">IF($A452="","",E452-G452)</f>
        <v/>
      </c>
      <c r="I452" s="21" t="str">
        <f aca="true">IF($A452="","",IF(H452&lt;=0,"Paid",IF(F452&lt;TODAY(),"OVERDUE",IF(G452&gt;0,"Part paid","Open"))))</f>
        <v/>
      </c>
      <c r="J452" s="22" t="str">
        <f aca="true">IF($A452="","",IF(AND(H452&gt;0,F452&lt;TODAY()),TODAY()-F452,0))</f>
        <v/>
      </c>
    </row>
    <row r="453" customFormat="false" ht="15" hidden="false" customHeight="false" outlineLevel="0" collapsed="false">
      <c r="A453" s="5"/>
      <c r="B453" s="19"/>
      <c r="C453" s="5"/>
      <c r="D453" s="5"/>
      <c r="E453" s="4"/>
      <c r="F453" s="19"/>
      <c r="G453" s="16" t="str">
        <f aca="false">IF($A453="","",SUMIFS('Cash Book'!$D$5:$D$504,'Cash Book'!$G$5:$G$504,$A453))</f>
        <v/>
      </c>
      <c r="H453" s="16" t="str">
        <f aca="false">IF($A453="","",E453-G453)</f>
        <v/>
      </c>
      <c r="I453" s="21" t="str">
        <f aca="true">IF($A453="","",IF(H453&lt;=0,"Paid",IF(F453&lt;TODAY(),"OVERDUE",IF(G453&gt;0,"Part paid","Open"))))</f>
        <v/>
      </c>
      <c r="J453" s="22" t="str">
        <f aca="true">IF($A453="","",IF(AND(H453&gt;0,F453&lt;TODAY()),TODAY()-F453,0))</f>
        <v/>
      </c>
    </row>
    <row r="454" customFormat="false" ht="15" hidden="false" customHeight="false" outlineLevel="0" collapsed="false">
      <c r="A454" s="5"/>
      <c r="B454" s="19"/>
      <c r="C454" s="5"/>
      <c r="D454" s="5"/>
      <c r="E454" s="4"/>
      <c r="F454" s="19"/>
      <c r="G454" s="16" t="str">
        <f aca="false">IF($A454="","",SUMIFS('Cash Book'!$D$5:$D$504,'Cash Book'!$G$5:$G$504,$A454))</f>
        <v/>
      </c>
      <c r="H454" s="16" t="str">
        <f aca="false">IF($A454="","",E454-G454)</f>
        <v/>
      </c>
      <c r="I454" s="21" t="str">
        <f aca="true">IF($A454="","",IF(H454&lt;=0,"Paid",IF(F454&lt;TODAY(),"OVERDUE",IF(G454&gt;0,"Part paid","Open"))))</f>
        <v/>
      </c>
      <c r="J454" s="22" t="str">
        <f aca="true">IF($A454="","",IF(AND(H454&gt;0,F454&lt;TODAY()),TODAY()-F454,0))</f>
        <v/>
      </c>
    </row>
    <row r="455" customFormat="false" ht="15" hidden="false" customHeight="false" outlineLevel="0" collapsed="false">
      <c r="A455" s="5"/>
      <c r="B455" s="19"/>
      <c r="C455" s="5"/>
      <c r="D455" s="5"/>
      <c r="E455" s="4"/>
      <c r="F455" s="19"/>
      <c r="G455" s="16" t="str">
        <f aca="false">IF($A455="","",SUMIFS('Cash Book'!$D$5:$D$504,'Cash Book'!$G$5:$G$504,$A455))</f>
        <v/>
      </c>
      <c r="H455" s="16" t="str">
        <f aca="false">IF($A455="","",E455-G455)</f>
        <v/>
      </c>
      <c r="I455" s="21" t="str">
        <f aca="true">IF($A455="","",IF(H455&lt;=0,"Paid",IF(F455&lt;TODAY(),"OVERDUE",IF(G455&gt;0,"Part paid","Open"))))</f>
        <v/>
      </c>
      <c r="J455" s="22" t="str">
        <f aca="true">IF($A455="","",IF(AND(H455&gt;0,F455&lt;TODAY()),TODAY()-F455,0))</f>
        <v/>
      </c>
    </row>
    <row r="456" customFormat="false" ht="15" hidden="false" customHeight="false" outlineLevel="0" collapsed="false">
      <c r="A456" s="5"/>
      <c r="B456" s="19"/>
      <c r="C456" s="5"/>
      <c r="D456" s="5"/>
      <c r="E456" s="4"/>
      <c r="F456" s="19"/>
      <c r="G456" s="16" t="str">
        <f aca="false">IF($A456="","",SUMIFS('Cash Book'!$D$5:$D$504,'Cash Book'!$G$5:$G$504,$A456))</f>
        <v/>
      </c>
      <c r="H456" s="16" t="str">
        <f aca="false">IF($A456="","",E456-G456)</f>
        <v/>
      </c>
      <c r="I456" s="21" t="str">
        <f aca="true">IF($A456="","",IF(H456&lt;=0,"Paid",IF(F456&lt;TODAY(),"OVERDUE",IF(G456&gt;0,"Part paid","Open"))))</f>
        <v/>
      </c>
      <c r="J456" s="22" t="str">
        <f aca="true">IF($A456="","",IF(AND(H456&gt;0,F456&lt;TODAY()),TODAY()-F456,0))</f>
        <v/>
      </c>
    </row>
    <row r="457" customFormat="false" ht="15" hidden="false" customHeight="false" outlineLevel="0" collapsed="false">
      <c r="A457" s="5"/>
      <c r="B457" s="19"/>
      <c r="C457" s="5"/>
      <c r="D457" s="5"/>
      <c r="E457" s="4"/>
      <c r="F457" s="19"/>
      <c r="G457" s="16" t="str">
        <f aca="false">IF($A457="","",SUMIFS('Cash Book'!$D$5:$D$504,'Cash Book'!$G$5:$G$504,$A457))</f>
        <v/>
      </c>
      <c r="H457" s="16" t="str">
        <f aca="false">IF($A457="","",E457-G457)</f>
        <v/>
      </c>
      <c r="I457" s="21" t="str">
        <f aca="true">IF($A457="","",IF(H457&lt;=0,"Paid",IF(F457&lt;TODAY(),"OVERDUE",IF(G457&gt;0,"Part paid","Open"))))</f>
        <v/>
      </c>
      <c r="J457" s="22" t="str">
        <f aca="true">IF($A457="","",IF(AND(H457&gt;0,F457&lt;TODAY()),TODAY()-F457,0))</f>
        <v/>
      </c>
    </row>
    <row r="458" customFormat="false" ht="15" hidden="false" customHeight="false" outlineLevel="0" collapsed="false">
      <c r="A458" s="5"/>
      <c r="B458" s="19"/>
      <c r="C458" s="5"/>
      <c r="D458" s="5"/>
      <c r="E458" s="4"/>
      <c r="F458" s="19"/>
      <c r="G458" s="16" t="str">
        <f aca="false">IF($A458="","",SUMIFS('Cash Book'!$D$5:$D$504,'Cash Book'!$G$5:$G$504,$A458))</f>
        <v/>
      </c>
      <c r="H458" s="16" t="str">
        <f aca="false">IF($A458="","",E458-G458)</f>
        <v/>
      </c>
      <c r="I458" s="21" t="str">
        <f aca="true">IF($A458="","",IF(H458&lt;=0,"Paid",IF(F458&lt;TODAY(),"OVERDUE",IF(G458&gt;0,"Part paid","Open"))))</f>
        <v/>
      </c>
      <c r="J458" s="22" t="str">
        <f aca="true">IF($A458="","",IF(AND(H458&gt;0,F458&lt;TODAY()),TODAY()-F458,0))</f>
        <v/>
      </c>
    </row>
    <row r="459" customFormat="false" ht="15" hidden="false" customHeight="false" outlineLevel="0" collapsed="false">
      <c r="A459" s="5"/>
      <c r="B459" s="19"/>
      <c r="C459" s="5"/>
      <c r="D459" s="5"/>
      <c r="E459" s="4"/>
      <c r="F459" s="19"/>
      <c r="G459" s="16" t="str">
        <f aca="false">IF($A459="","",SUMIFS('Cash Book'!$D$5:$D$504,'Cash Book'!$G$5:$G$504,$A459))</f>
        <v/>
      </c>
      <c r="H459" s="16" t="str">
        <f aca="false">IF($A459="","",E459-G459)</f>
        <v/>
      </c>
      <c r="I459" s="21" t="str">
        <f aca="true">IF($A459="","",IF(H459&lt;=0,"Paid",IF(F459&lt;TODAY(),"OVERDUE",IF(G459&gt;0,"Part paid","Open"))))</f>
        <v/>
      </c>
      <c r="J459" s="22" t="str">
        <f aca="true">IF($A459="","",IF(AND(H459&gt;0,F459&lt;TODAY()),TODAY()-F459,0))</f>
        <v/>
      </c>
    </row>
    <row r="460" customFormat="false" ht="15" hidden="false" customHeight="false" outlineLevel="0" collapsed="false">
      <c r="A460" s="5"/>
      <c r="B460" s="19"/>
      <c r="C460" s="5"/>
      <c r="D460" s="5"/>
      <c r="E460" s="4"/>
      <c r="F460" s="19"/>
      <c r="G460" s="16" t="str">
        <f aca="false">IF($A460="","",SUMIFS('Cash Book'!$D$5:$D$504,'Cash Book'!$G$5:$G$504,$A460))</f>
        <v/>
      </c>
      <c r="H460" s="16" t="str">
        <f aca="false">IF($A460="","",E460-G460)</f>
        <v/>
      </c>
      <c r="I460" s="21" t="str">
        <f aca="true">IF($A460="","",IF(H460&lt;=0,"Paid",IF(F460&lt;TODAY(),"OVERDUE",IF(G460&gt;0,"Part paid","Open"))))</f>
        <v/>
      </c>
      <c r="J460" s="22" t="str">
        <f aca="true">IF($A460="","",IF(AND(H460&gt;0,F460&lt;TODAY()),TODAY()-F460,0))</f>
        <v/>
      </c>
    </row>
    <row r="461" customFormat="false" ht="15" hidden="false" customHeight="false" outlineLevel="0" collapsed="false">
      <c r="A461" s="5"/>
      <c r="B461" s="19"/>
      <c r="C461" s="5"/>
      <c r="D461" s="5"/>
      <c r="E461" s="4"/>
      <c r="F461" s="19"/>
      <c r="G461" s="16" t="str">
        <f aca="false">IF($A461="","",SUMIFS('Cash Book'!$D$5:$D$504,'Cash Book'!$G$5:$G$504,$A461))</f>
        <v/>
      </c>
      <c r="H461" s="16" t="str">
        <f aca="false">IF($A461="","",E461-G461)</f>
        <v/>
      </c>
      <c r="I461" s="21" t="str">
        <f aca="true">IF($A461="","",IF(H461&lt;=0,"Paid",IF(F461&lt;TODAY(),"OVERDUE",IF(G461&gt;0,"Part paid","Open"))))</f>
        <v/>
      </c>
      <c r="J461" s="22" t="str">
        <f aca="true">IF($A461="","",IF(AND(H461&gt;0,F461&lt;TODAY()),TODAY()-F461,0))</f>
        <v/>
      </c>
    </row>
    <row r="462" customFormat="false" ht="15" hidden="false" customHeight="false" outlineLevel="0" collapsed="false">
      <c r="A462" s="5"/>
      <c r="B462" s="19"/>
      <c r="C462" s="5"/>
      <c r="D462" s="5"/>
      <c r="E462" s="4"/>
      <c r="F462" s="19"/>
      <c r="G462" s="16" t="str">
        <f aca="false">IF($A462="","",SUMIFS('Cash Book'!$D$5:$D$504,'Cash Book'!$G$5:$G$504,$A462))</f>
        <v/>
      </c>
      <c r="H462" s="16" t="str">
        <f aca="false">IF($A462="","",E462-G462)</f>
        <v/>
      </c>
      <c r="I462" s="21" t="str">
        <f aca="true">IF($A462="","",IF(H462&lt;=0,"Paid",IF(F462&lt;TODAY(),"OVERDUE",IF(G462&gt;0,"Part paid","Open"))))</f>
        <v/>
      </c>
      <c r="J462" s="22" t="str">
        <f aca="true">IF($A462="","",IF(AND(H462&gt;0,F462&lt;TODAY()),TODAY()-F462,0))</f>
        <v/>
      </c>
    </row>
    <row r="463" customFormat="false" ht="15" hidden="false" customHeight="false" outlineLevel="0" collapsed="false">
      <c r="A463" s="5"/>
      <c r="B463" s="19"/>
      <c r="C463" s="5"/>
      <c r="D463" s="5"/>
      <c r="E463" s="4"/>
      <c r="F463" s="19"/>
      <c r="G463" s="16" t="str">
        <f aca="false">IF($A463="","",SUMIFS('Cash Book'!$D$5:$D$504,'Cash Book'!$G$5:$G$504,$A463))</f>
        <v/>
      </c>
      <c r="H463" s="16" t="str">
        <f aca="false">IF($A463="","",E463-G463)</f>
        <v/>
      </c>
      <c r="I463" s="21" t="str">
        <f aca="true">IF($A463="","",IF(H463&lt;=0,"Paid",IF(F463&lt;TODAY(),"OVERDUE",IF(G463&gt;0,"Part paid","Open"))))</f>
        <v/>
      </c>
      <c r="J463" s="22" t="str">
        <f aca="true">IF($A463="","",IF(AND(H463&gt;0,F463&lt;TODAY()),TODAY()-F463,0))</f>
        <v/>
      </c>
    </row>
    <row r="464" customFormat="false" ht="15" hidden="false" customHeight="false" outlineLevel="0" collapsed="false">
      <c r="A464" s="5"/>
      <c r="B464" s="19"/>
      <c r="C464" s="5"/>
      <c r="D464" s="5"/>
      <c r="E464" s="4"/>
      <c r="F464" s="19"/>
      <c r="G464" s="16" t="str">
        <f aca="false">IF($A464="","",SUMIFS('Cash Book'!$D$5:$D$504,'Cash Book'!$G$5:$G$504,$A464))</f>
        <v/>
      </c>
      <c r="H464" s="16" t="str">
        <f aca="false">IF($A464="","",E464-G464)</f>
        <v/>
      </c>
      <c r="I464" s="21" t="str">
        <f aca="true">IF($A464="","",IF(H464&lt;=0,"Paid",IF(F464&lt;TODAY(),"OVERDUE",IF(G464&gt;0,"Part paid","Open"))))</f>
        <v/>
      </c>
      <c r="J464" s="22" t="str">
        <f aca="true">IF($A464="","",IF(AND(H464&gt;0,F464&lt;TODAY()),TODAY()-F464,0))</f>
        <v/>
      </c>
    </row>
    <row r="465" customFormat="false" ht="15" hidden="false" customHeight="false" outlineLevel="0" collapsed="false">
      <c r="A465" s="5"/>
      <c r="B465" s="19"/>
      <c r="C465" s="5"/>
      <c r="D465" s="5"/>
      <c r="E465" s="4"/>
      <c r="F465" s="19"/>
      <c r="G465" s="16" t="str">
        <f aca="false">IF($A465="","",SUMIFS('Cash Book'!$D$5:$D$504,'Cash Book'!$G$5:$G$504,$A465))</f>
        <v/>
      </c>
      <c r="H465" s="16" t="str">
        <f aca="false">IF($A465="","",E465-G465)</f>
        <v/>
      </c>
      <c r="I465" s="21" t="str">
        <f aca="true">IF($A465="","",IF(H465&lt;=0,"Paid",IF(F465&lt;TODAY(),"OVERDUE",IF(G465&gt;0,"Part paid","Open"))))</f>
        <v/>
      </c>
      <c r="J465" s="22" t="str">
        <f aca="true">IF($A465="","",IF(AND(H465&gt;0,F465&lt;TODAY()),TODAY()-F465,0))</f>
        <v/>
      </c>
    </row>
    <row r="466" customFormat="false" ht="15" hidden="false" customHeight="false" outlineLevel="0" collapsed="false">
      <c r="A466" s="5"/>
      <c r="B466" s="19"/>
      <c r="C466" s="5"/>
      <c r="D466" s="5"/>
      <c r="E466" s="4"/>
      <c r="F466" s="19"/>
      <c r="G466" s="16" t="str">
        <f aca="false">IF($A466="","",SUMIFS('Cash Book'!$D$5:$D$504,'Cash Book'!$G$5:$G$504,$A466))</f>
        <v/>
      </c>
      <c r="H466" s="16" t="str">
        <f aca="false">IF($A466="","",E466-G466)</f>
        <v/>
      </c>
      <c r="I466" s="21" t="str">
        <f aca="true">IF($A466="","",IF(H466&lt;=0,"Paid",IF(F466&lt;TODAY(),"OVERDUE",IF(G466&gt;0,"Part paid","Open"))))</f>
        <v/>
      </c>
      <c r="J466" s="22" t="str">
        <f aca="true">IF($A466="","",IF(AND(H466&gt;0,F466&lt;TODAY()),TODAY()-F466,0))</f>
        <v/>
      </c>
    </row>
    <row r="467" customFormat="false" ht="15" hidden="false" customHeight="false" outlineLevel="0" collapsed="false">
      <c r="A467" s="5"/>
      <c r="B467" s="19"/>
      <c r="C467" s="5"/>
      <c r="D467" s="5"/>
      <c r="E467" s="4"/>
      <c r="F467" s="19"/>
      <c r="G467" s="16" t="str">
        <f aca="false">IF($A467="","",SUMIFS('Cash Book'!$D$5:$D$504,'Cash Book'!$G$5:$G$504,$A467))</f>
        <v/>
      </c>
      <c r="H467" s="16" t="str">
        <f aca="false">IF($A467="","",E467-G467)</f>
        <v/>
      </c>
      <c r="I467" s="21" t="str">
        <f aca="true">IF($A467="","",IF(H467&lt;=0,"Paid",IF(F467&lt;TODAY(),"OVERDUE",IF(G467&gt;0,"Part paid","Open"))))</f>
        <v/>
      </c>
      <c r="J467" s="22" t="str">
        <f aca="true">IF($A467="","",IF(AND(H467&gt;0,F467&lt;TODAY()),TODAY()-F467,0))</f>
        <v/>
      </c>
    </row>
    <row r="468" customFormat="false" ht="15" hidden="false" customHeight="false" outlineLevel="0" collapsed="false">
      <c r="A468" s="5"/>
      <c r="B468" s="19"/>
      <c r="C468" s="5"/>
      <c r="D468" s="5"/>
      <c r="E468" s="4"/>
      <c r="F468" s="19"/>
      <c r="G468" s="16" t="str">
        <f aca="false">IF($A468="","",SUMIFS('Cash Book'!$D$5:$D$504,'Cash Book'!$G$5:$G$504,$A468))</f>
        <v/>
      </c>
      <c r="H468" s="16" t="str">
        <f aca="false">IF($A468="","",E468-G468)</f>
        <v/>
      </c>
      <c r="I468" s="21" t="str">
        <f aca="true">IF($A468="","",IF(H468&lt;=0,"Paid",IF(F468&lt;TODAY(),"OVERDUE",IF(G468&gt;0,"Part paid","Open"))))</f>
        <v/>
      </c>
      <c r="J468" s="22" t="str">
        <f aca="true">IF($A468="","",IF(AND(H468&gt;0,F468&lt;TODAY()),TODAY()-F468,0))</f>
        <v/>
      </c>
    </row>
    <row r="469" customFormat="false" ht="15" hidden="false" customHeight="false" outlineLevel="0" collapsed="false">
      <c r="A469" s="5"/>
      <c r="B469" s="19"/>
      <c r="C469" s="5"/>
      <c r="D469" s="5"/>
      <c r="E469" s="4"/>
      <c r="F469" s="19"/>
      <c r="G469" s="16" t="str">
        <f aca="false">IF($A469="","",SUMIFS('Cash Book'!$D$5:$D$504,'Cash Book'!$G$5:$G$504,$A469))</f>
        <v/>
      </c>
      <c r="H469" s="16" t="str">
        <f aca="false">IF($A469="","",E469-G469)</f>
        <v/>
      </c>
      <c r="I469" s="21" t="str">
        <f aca="true">IF($A469="","",IF(H469&lt;=0,"Paid",IF(F469&lt;TODAY(),"OVERDUE",IF(G469&gt;0,"Part paid","Open"))))</f>
        <v/>
      </c>
      <c r="J469" s="22" t="str">
        <f aca="true">IF($A469="","",IF(AND(H469&gt;0,F469&lt;TODAY()),TODAY()-F469,0))</f>
        <v/>
      </c>
    </row>
    <row r="470" customFormat="false" ht="15" hidden="false" customHeight="false" outlineLevel="0" collapsed="false">
      <c r="A470" s="5"/>
      <c r="B470" s="19"/>
      <c r="C470" s="5"/>
      <c r="D470" s="5"/>
      <c r="E470" s="4"/>
      <c r="F470" s="19"/>
      <c r="G470" s="16" t="str">
        <f aca="false">IF($A470="","",SUMIFS('Cash Book'!$D$5:$D$504,'Cash Book'!$G$5:$G$504,$A470))</f>
        <v/>
      </c>
      <c r="H470" s="16" t="str">
        <f aca="false">IF($A470="","",E470-G470)</f>
        <v/>
      </c>
      <c r="I470" s="21" t="str">
        <f aca="true">IF($A470="","",IF(H470&lt;=0,"Paid",IF(F470&lt;TODAY(),"OVERDUE",IF(G470&gt;0,"Part paid","Open"))))</f>
        <v/>
      </c>
      <c r="J470" s="22" t="str">
        <f aca="true">IF($A470="","",IF(AND(H470&gt;0,F470&lt;TODAY()),TODAY()-F470,0))</f>
        <v/>
      </c>
    </row>
    <row r="471" customFormat="false" ht="15" hidden="false" customHeight="false" outlineLevel="0" collapsed="false">
      <c r="A471" s="5"/>
      <c r="B471" s="19"/>
      <c r="C471" s="5"/>
      <c r="D471" s="5"/>
      <c r="E471" s="4"/>
      <c r="F471" s="19"/>
      <c r="G471" s="16" t="str">
        <f aca="false">IF($A471="","",SUMIFS('Cash Book'!$D$5:$D$504,'Cash Book'!$G$5:$G$504,$A471))</f>
        <v/>
      </c>
      <c r="H471" s="16" t="str">
        <f aca="false">IF($A471="","",E471-G471)</f>
        <v/>
      </c>
      <c r="I471" s="21" t="str">
        <f aca="true">IF($A471="","",IF(H471&lt;=0,"Paid",IF(F471&lt;TODAY(),"OVERDUE",IF(G471&gt;0,"Part paid","Open"))))</f>
        <v/>
      </c>
      <c r="J471" s="22" t="str">
        <f aca="true">IF($A471="","",IF(AND(H471&gt;0,F471&lt;TODAY()),TODAY()-F471,0))</f>
        <v/>
      </c>
    </row>
    <row r="472" customFormat="false" ht="15" hidden="false" customHeight="false" outlineLevel="0" collapsed="false">
      <c r="A472" s="5"/>
      <c r="B472" s="19"/>
      <c r="C472" s="5"/>
      <c r="D472" s="5"/>
      <c r="E472" s="4"/>
      <c r="F472" s="19"/>
      <c r="G472" s="16" t="str">
        <f aca="false">IF($A472="","",SUMIFS('Cash Book'!$D$5:$D$504,'Cash Book'!$G$5:$G$504,$A472))</f>
        <v/>
      </c>
      <c r="H472" s="16" t="str">
        <f aca="false">IF($A472="","",E472-G472)</f>
        <v/>
      </c>
      <c r="I472" s="21" t="str">
        <f aca="true">IF($A472="","",IF(H472&lt;=0,"Paid",IF(F472&lt;TODAY(),"OVERDUE",IF(G472&gt;0,"Part paid","Open"))))</f>
        <v/>
      </c>
      <c r="J472" s="22" t="str">
        <f aca="true">IF($A472="","",IF(AND(H472&gt;0,F472&lt;TODAY()),TODAY()-F472,0))</f>
        <v/>
      </c>
    </row>
    <row r="473" customFormat="false" ht="15" hidden="false" customHeight="false" outlineLevel="0" collapsed="false">
      <c r="A473" s="5"/>
      <c r="B473" s="19"/>
      <c r="C473" s="5"/>
      <c r="D473" s="5"/>
      <c r="E473" s="4"/>
      <c r="F473" s="19"/>
      <c r="G473" s="16" t="str">
        <f aca="false">IF($A473="","",SUMIFS('Cash Book'!$D$5:$D$504,'Cash Book'!$G$5:$G$504,$A473))</f>
        <v/>
      </c>
      <c r="H473" s="16" t="str">
        <f aca="false">IF($A473="","",E473-G473)</f>
        <v/>
      </c>
      <c r="I473" s="21" t="str">
        <f aca="true">IF($A473="","",IF(H473&lt;=0,"Paid",IF(F473&lt;TODAY(),"OVERDUE",IF(G473&gt;0,"Part paid","Open"))))</f>
        <v/>
      </c>
      <c r="J473" s="22" t="str">
        <f aca="true">IF($A473="","",IF(AND(H473&gt;0,F473&lt;TODAY()),TODAY()-F473,0))</f>
        <v/>
      </c>
    </row>
    <row r="474" customFormat="false" ht="15" hidden="false" customHeight="false" outlineLevel="0" collapsed="false">
      <c r="A474" s="5"/>
      <c r="B474" s="19"/>
      <c r="C474" s="5"/>
      <c r="D474" s="5"/>
      <c r="E474" s="4"/>
      <c r="F474" s="19"/>
      <c r="G474" s="16" t="str">
        <f aca="false">IF($A474="","",SUMIFS('Cash Book'!$D$5:$D$504,'Cash Book'!$G$5:$G$504,$A474))</f>
        <v/>
      </c>
      <c r="H474" s="16" t="str">
        <f aca="false">IF($A474="","",E474-G474)</f>
        <v/>
      </c>
      <c r="I474" s="21" t="str">
        <f aca="true">IF($A474="","",IF(H474&lt;=0,"Paid",IF(F474&lt;TODAY(),"OVERDUE",IF(G474&gt;0,"Part paid","Open"))))</f>
        <v/>
      </c>
      <c r="J474" s="22" t="str">
        <f aca="true">IF($A474="","",IF(AND(H474&gt;0,F474&lt;TODAY()),TODAY()-F474,0))</f>
        <v/>
      </c>
    </row>
    <row r="475" customFormat="false" ht="15" hidden="false" customHeight="false" outlineLevel="0" collapsed="false">
      <c r="A475" s="5"/>
      <c r="B475" s="19"/>
      <c r="C475" s="5"/>
      <c r="D475" s="5"/>
      <c r="E475" s="4"/>
      <c r="F475" s="19"/>
      <c r="G475" s="16" t="str">
        <f aca="false">IF($A475="","",SUMIFS('Cash Book'!$D$5:$D$504,'Cash Book'!$G$5:$G$504,$A475))</f>
        <v/>
      </c>
      <c r="H475" s="16" t="str">
        <f aca="false">IF($A475="","",E475-G475)</f>
        <v/>
      </c>
      <c r="I475" s="21" t="str">
        <f aca="true">IF($A475="","",IF(H475&lt;=0,"Paid",IF(F475&lt;TODAY(),"OVERDUE",IF(G475&gt;0,"Part paid","Open"))))</f>
        <v/>
      </c>
      <c r="J475" s="22" t="str">
        <f aca="true">IF($A475="","",IF(AND(H475&gt;0,F475&lt;TODAY()),TODAY()-F475,0))</f>
        <v/>
      </c>
    </row>
    <row r="476" customFormat="false" ht="15" hidden="false" customHeight="false" outlineLevel="0" collapsed="false">
      <c r="A476" s="5"/>
      <c r="B476" s="19"/>
      <c r="C476" s="5"/>
      <c r="D476" s="5"/>
      <c r="E476" s="4"/>
      <c r="F476" s="19"/>
      <c r="G476" s="16" t="str">
        <f aca="false">IF($A476="","",SUMIFS('Cash Book'!$D$5:$D$504,'Cash Book'!$G$5:$G$504,$A476))</f>
        <v/>
      </c>
      <c r="H476" s="16" t="str">
        <f aca="false">IF($A476="","",E476-G476)</f>
        <v/>
      </c>
      <c r="I476" s="21" t="str">
        <f aca="true">IF($A476="","",IF(H476&lt;=0,"Paid",IF(F476&lt;TODAY(),"OVERDUE",IF(G476&gt;0,"Part paid","Open"))))</f>
        <v/>
      </c>
      <c r="J476" s="22" t="str">
        <f aca="true">IF($A476="","",IF(AND(H476&gt;0,F476&lt;TODAY()),TODAY()-F476,0))</f>
        <v/>
      </c>
    </row>
    <row r="477" customFormat="false" ht="15" hidden="false" customHeight="false" outlineLevel="0" collapsed="false">
      <c r="A477" s="5"/>
      <c r="B477" s="19"/>
      <c r="C477" s="5"/>
      <c r="D477" s="5"/>
      <c r="E477" s="4"/>
      <c r="F477" s="19"/>
      <c r="G477" s="16" t="str">
        <f aca="false">IF($A477="","",SUMIFS('Cash Book'!$D$5:$D$504,'Cash Book'!$G$5:$G$504,$A477))</f>
        <v/>
      </c>
      <c r="H477" s="16" t="str">
        <f aca="false">IF($A477="","",E477-G477)</f>
        <v/>
      </c>
      <c r="I477" s="21" t="str">
        <f aca="true">IF($A477="","",IF(H477&lt;=0,"Paid",IF(F477&lt;TODAY(),"OVERDUE",IF(G477&gt;0,"Part paid","Open"))))</f>
        <v/>
      </c>
      <c r="J477" s="22" t="str">
        <f aca="true">IF($A477="","",IF(AND(H477&gt;0,F477&lt;TODAY()),TODAY()-F477,0))</f>
        <v/>
      </c>
    </row>
    <row r="478" customFormat="false" ht="15" hidden="false" customHeight="false" outlineLevel="0" collapsed="false">
      <c r="A478" s="5"/>
      <c r="B478" s="19"/>
      <c r="C478" s="5"/>
      <c r="D478" s="5"/>
      <c r="E478" s="4"/>
      <c r="F478" s="19"/>
      <c r="G478" s="16" t="str">
        <f aca="false">IF($A478="","",SUMIFS('Cash Book'!$D$5:$D$504,'Cash Book'!$G$5:$G$504,$A478))</f>
        <v/>
      </c>
      <c r="H478" s="16" t="str">
        <f aca="false">IF($A478="","",E478-G478)</f>
        <v/>
      </c>
      <c r="I478" s="21" t="str">
        <f aca="true">IF($A478="","",IF(H478&lt;=0,"Paid",IF(F478&lt;TODAY(),"OVERDUE",IF(G478&gt;0,"Part paid","Open"))))</f>
        <v/>
      </c>
      <c r="J478" s="22" t="str">
        <f aca="true">IF($A478="","",IF(AND(H478&gt;0,F478&lt;TODAY()),TODAY()-F478,0))</f>
        <v/>
      </c>
    </row>
    <row r="479" customFormat="false" ht="15" hidden="false" customHeight="false" outlineLevel="0" collapsed="false">
      <c r="A479" s="5"/>
      <c r="B479" s="19"/>
      <c r="C479" s="5"/>
      <c r="D479" s="5"/>
      <c r="E479" s="4"/>
      <c r="F479" s="19"/>
      <c r="G479" s="16" t="str">
        <f aca="false">IF($A479="","",SUMIFS('Cash Book'!$D$5:$D$504,'Cash Book'!$G$5:$G$504,$A479))</f>
        <v/>
      </c>
      <c r="H479" s="16" t="str">
        <f aca="false">IF($A479="","",E479-G479)</f>
        <v/>
      </c>
      <c r="I479" s="21" t="str">
        <f aca="true">IF($A479="","",IF(H479&lt;=0,"Paid",IF(F479&lt;TODAY(),"OVERDUE",IF(G479&gt;0,"Part paid","Open"))))</f>
        <v/>
      </c>
      <c r="J479" s="22" t="str">
        <f aca="true">IF($A479="","",IF(AND(H479&gt;0,F479&lt;TODAY()),TODAY()-F479,0))</f>
        <v/>
      </c>
    </row>
    <row r="480" customFormat="false" ht="15" hidden="false" customHeight="false" outlineLevel="0" collapsed="false">
      <c r="A480" s="5"/>
      <c r="B480" s="19"/>
      <c r="C480" s="5"/>
      <c r="D480" s="5"/>
      <c r="E480" s="4"/>
      <c r="F480" s="19"/>
      <c r="G480" s="16" t="str">
        <f aca="false">IF($A480="","",SUMIFS('Cash Book'!$D$5:$D$504,'Cash Book'!$G$5:$G$504,$A480))</f>
        <v/>
      </c>
      <c r="H480" s="16" t="str">
        <f aca="false">IF($A480="","",E480-G480)</f>
        <v/>
      </c>
      <c r="I480" s="21" t="str">
        <f aca="true">IF($A480="","",IF(H480&lt;=0,"Paid",IF(F480&lt;TODAY(),"OVERDUE",IF(G480&gt;0,"Part paid","Open"))))</f>
        <v/>
      </c>
      <c r="J480" s="22" t="str">
        <f aca="true">IF($A480="","",IF(AND(H480&gt;0,F480&lt;TODAY()),TODAY()-F480,0))</f>
        <v/>
      </c>
    </row>
    <row r="481" customFormat="false" ht="15" hidden="false" customHeight="false" outlineLevel="0" collapsed="false">
      <c r="A481" s="5"/>
      <c r="B481" s="19"/>
      <c r="C481" s="5"/>
      <c r="D481" s="5"/>
      <c r="E481" s="4"/>
      <c r="F481" s="19"/>
      <c r="G481" s="16" t="str">
        <f aca="false">IF($A481="","",SUMIFS('Cash Book'!$D$5:$D$504,'Cash Book'!$G$5:$G$504,$A481))</f>
        <v/>
      </c>
      <c r="H481" s="16" t="str">
        <f aca="false">IF($A481="","",E481-G481)</f>
        <v/>
      </c>
      <c r="I481" s="21" t="str">
        <f aca="true">IF($A481="","",IF(H481&lt;=0,"Paid",IF(F481&lt;TODAY(),"OVERDUE",IF(G481&gt;0,"Part paid","Open"))))</f>
        <v/>
      </c>
      <c r="J481" s="22" t="str">
        <f aca="true">IF($A481="","",IF(AND(H481&gt;0,F481&lt;TODAY()),TODAY()-F481,0))</f>
        <v/>
      </c>
    </row>
    <row r="482" customFormat="false" ht="15" hidden="false" customHeight="false" outlineLevel="0" collapsed="false">
      <c r="A482" s="5"/>
      <c r="B482" s="19"/>
      <c r="C482" s="5"/>
      <c r="D482" s="5"/>
      <c r="E482" s="4"/>
      <c r="F482" s="19"/>
      <c r="G482" s="16" t="str">
        <f aca="false">IF($A482="","",SUMIFS('Cash Book'!$D$5:$D$504,'Cash Book'!$G$5:$G$504,$A482))</f>
        <v/>
      </c>
      <c r="H482" s="16" t="str">
        <f aca="false">IF($A482="","",E482-G482)</f>
        <v/>
      </c>
      <c r="I482" s="21" t="str">
        <f aca="true">IF($A482="","",IF(H482&lt;=0,"Paid",IF(F482&lt;TODAY(),"OVERDUE",IF(G482&gt;0,"Part paid","Open"))))</f>
        <v/>
      </c>
      <c r="J482" s="22" t="str">
        <f aca="true">IF($A482="","",IF(AND(H482&gt;0,F482&lt;TODAY()),TODAY()-F482,0))</f>
        <v/>
      </c>
    </row>
    <row r="483" customFormat="false" ht="15" hidden="false" customHeight="false" outlineLevel="0" collapsed="false">
      <c r="A483" s="5"/>
      <c r="B483" s="19"/>
      <c r="C483" s="5"/>
      <c r="D483" s="5"/>
      <c r="E483" s="4"/>
      <c r="F483" s="19"/>
      <c r="G483" s="16" t="str">
        <f aca="false">IF($A483="","",SUMIFS('Cash Book'!$D$5:$D$504,'Cash Book'!$G$5:$G$504,$A483))</f>
        <v/>
      </c>
      <c r="H483" s="16" t="str">
        <f aca="false">IF($A483="","",E483-G483)</f>
        <v/>
      </c>
      <c r="I483" s="21" t="str">
        <f aca="true">IF($A483="","",IF(H483&lt;=0,"Paid",IF(F483&lt;TODAY(),"OVERDUE",IF(G483&gt;0,"Part paid","Open"))))</f>
        <v/>
      </c>
      <c r="J483" s="22" t="str">
        <f aca="true">IF($A483="","",IF(AND(H483&gt;0,F483&lt;TODAY()),TODAY()-F483,0))</f>
        <v/>
      </c>
    </row>
    <row r="484" customFormat="false" ht="15" hidden="false" customHeight="false" outlineLevel="0" collapsed="false">
      <c r="A484" s="5"/>
      <c r="B484" s="19"/>
      <c r="C484" s="5"/>
      <c r="D484" s="5"/>
      <c r="E484" s="4"/>
      <c r="F484" s="19"/>
      <c r="G484" s="16" t="str">
        <f aca="false">IF($A484="","",SUMIFS('Cash Book'!$D$5:$D$504,'Cash Book'!$G$5:$G$504,$A484))</f>
        <v/>
      </c>
      <c r="H484" s="16" t="str">
        <f aca="false">IF($A484="","",E484-G484)</f>
        <v/>
      </c>
      <c r="I484" s="21" t="str">
        <f aca="true">IF($A484="","",IF(H484&lt;=0,"Paid",IF(F484&lt;TODAY(),"OVERDUE",IF(G484&gt;0,"Part paid","Open"))))</f>
        <v/>
      </c>
      <c r="J484" s="22" t="str">
        <f aca="true">IF($A484="","",IF(AND(H484&gt;0,F484&lt;TODAY()),TODAY()-F484,0))</f>
        <v/>
      </c>
    </row>
    <row r="485" customFormat="false" ht="15" hidden="false" customHeight="false" outlineLevel="0" collapsed="false">
      <c r="A485" s="5"/>
      <c r="B485" s="19"/>
      <c r="C485" s="5"/>
      <c r="D485" s="5"/>
      <c r="E485" s="4"/>
      <c r="F485" s="19"/>
      <c r="G485" s="16" t="str">
        <f aca="false">IF($A485="","",SUMIFS('Cash Book'!$D$5:$D$504,'Cash Book'!$G$5:$G$504,$A485))</f>
        <v/>
      </c>
      <c r="H485" s="16" t="str">
        <f aca="false">IF($A485="","",E485-G485)</f>
        <v/>
      </c>
      <c r="I485" s="21" t="str">
        <f aca="true">IF($A485="","",IF(H485&lt;=0,"Paid",IF(F485&lt;TODAY(),"OVERDUE",IF(G485&gt;0,"Part paid","Open"))))</f>
        <v/>
      </c>
      <c r="J485" s="22" t="str">
        <f aca="true">IF($A485="","",IF(AND(H485&gt;0,F485&lt;TODAY()),TODAY()-F485,0))</f>
        <v/>
      </c>
    </row>
    <row r="486" customFormat="false" ht="15" hidden="false" customHeight="false" outlineLevel="0" collapsed="false">
      <c r="A486" s="5"/>
      <c r="B486" s="19"/>
      <c r="C486" s="5"/>
      <c r="D486" s="5"/>
      <c r="E486" s="4"/>
      <c r="F486" s="19"/>
      <c r="G486" s="16" t="str">
        <f aca="false">IF($A486="","",SUMIFS('Cash Book'!$D$5:$D$504,'Cash Book'!$G$5:$G$504,$A486))</f>
        <v/>
      </c>
      <c r="H486" s="16" t="str">
        <f aca="false">IF($A486="","",E486-G486)</f>
        <v/>
      </c>
      <c r="I486" s="21" t="str">
        <f aca="true">IF($A486="","",IF(H486&lt;=0,"Paid",IF(F486&lt;TODAY(),"OVERDUE",IF(G486&gt;0,"Part paid","Open"))))</f>
        <v/>
      </c>
      <c r="J486" s="22" t="str">
        <f aca="true">IF($A486="","",IF(AND(H486&gt;0,F486&lt;TODAY()),TODAY()-F486,0))</f>
        <v/>
      </c>
    </row>
    <row r="487" customFormat="false" ht="15" hidden="false" customHeight="false" outlineLevel="0" collapsed="false">
      <c r="A487" s="5"/>
      <c r="B487" s="19"/>
      <c r="C487" s="5"/>
      <c r="D487" s="5"/>
      <c r="E487" s="4"/>
      <c r="F487" s="19"/>
      <c r="G487" s="16" t="str">
        <f aca="false">IF($A487="","",SUMIFS('Cash Book'!$D$5:$D$504,'Cash Book'!$G$5:$G$504,$A487))</f>
        <v/>
      </c>
      <c r="H487" s="16" t="str">
        <f aca="false">IF($A487="","",E487-G487)</f>
        <v/>
      </c>
      <c r="I487" s="21" t="str">
        <f aca="true">IF($A487="","",IF(H487&lt;=0,"Paid",IF(F487&lt;TODAY(),"OVERDUE",IF(G487&gt;0,"Part paid","Open"))))</f>
        <v/>
      </c>
      <c r="J487" s="22" t="str">
        <f aca="true">IF($A487="","",IF(AND(H487&gt;0,F487&lt;TODAY()),TODAY()-F487,0))</f>
        <v/>
      </c>
    </row>
    <row r="488" customFormat="false" ht="15" hidden="false" customHeight="false" outlineLevel="0" collapsed="false">
      <c r="A488" s="5"/>
      <c r="B488" s="19"/>
      <c r="C488" s="5"/>
      <c r="D488" s="5"/>
      <c r="E488" s="4"/>
      <c r="F488" s="19"/>
      <c r="G488" s="16" t="str">
        <f aca="false">IF($A488="","",SUMIFS('Cash Book'!$D$5:$D$504,'Cash Book'!$G$5:$G$504,$A488))</f>
        <v/>
      </c>
      <c r="H488" s="16" t="str">
        <f aca="false">IF($A488="","",E488-G488)</f>
        <v/>
      </c>
      <c r="I488" s="21" t="str">
        <f aca="true">IF($A488="","",IF(H488&lt;=0,"Paid",IF(F488&lt;TODAY(),"OVERDUE",IF(G488&gt;0,"Part paid","Open"))))</f>
        <v/>
      </c>
      <c r="J488" s="22" t="str">
        <f aca="true">IF($A488="","",IF(AND(H488&gt;0,F488&lt;TODAY()),TODAY()-F488,0))</f>
        <v/>
      </c>
    </row>
    <row r="489" customFormat="false" ht="15" hidden="false" customHeight="false" outlineLevel="0" collapsed="false">
      <c r="A489" s="5"/>
      <c r="B489" s="19"/>
      <c r="C489" s="5"/>
      <c r="D489" s="5"/>
      <c r="E489" s="4"/>
      <c r="F489" s="19"/>
      <c r="G489" s="16" t="str">
        <f aca="false">IF($A489="","",SUMIFS('Cash Book'!$D$5:$D$504,'Cash Book'!$G$5:$G$504,$A489))</f>
        <v/>
      </c>
      <c r="H489" s="16" t="str">
        <f aca="false">IF($A489="","",E489-G489)</f>
        <v/>
      </c>
      <c r="I489" s="21" t="str">
        <f aca="true">IF($A489="","",IF(H489&lt;=0,"Paid",IF(F489&lt;TODAY(),"OVERDUE",IF(G489&gt;0,"Part paid","Open"))))</f>
        <v/>
      </c>
      <c r="J489" s="22" t="str">
        <f aca="true">IF($A489="","",IF(AND(H489&gt;0,F489&lt;TODAY()),TODAY()-F489,0))</f>
        <v/>
      </c>
    </row>
    <row r="490" customFormat="false" ht="15" hidden="false" customHeight="false" outlineLevel="0" collapsed="false">
      <c r="A490" s="5"/>
      <c r="B490" s="19"/>
      <c r="C490" s="5"/>
      <c r="D490" s="5"/>
      <c r="E490" s="4"/>
      <c r="F490" s="19"/>
      <c r="G490" s="16" t="str">
        <f aca="false">IF($A490="","",SUMIFS('Cash Book'!$D$5:$D$504,'Cash Book'!$G$5:$G$504,$A490))</f>
        <v/>
      </c>
      <c r="H490" s="16" t="str">
        <f aca="false">IF($A490="","",E490-G490)</f>
        <v/>
      </c>
      <c r="I490" s="21" t="str">
        <f aca="true">IF($A490="","",IF(H490&lt;=0,"Paid",IF(F490&lt;TODAY(),"OVERDUE",IF(G490&gt;0,"Part paid","Open"))))</f>
        <v/>
      </c>
      <c r="J490" s="22" t="str">
        <f aca="true">IF($A490="","",IF(AND(H490&gt;0,F490&lt;TODAY()),TODAY()-F490,0))</f>
        <v/>
      </c>
    </row>
    <row r="491" customFormat="false" ht="15" hidden="false" customHeight="false" outlineLevel="0" collapsed="false">
      <c r="A491" s="5"/>
      <c r="B491" s="19"/>
      <c r="C491" s="5"/>
      <c r="D491" s="5"/>
      <c r="E491" s="4"/>
      <c r="F491" s="19"/>
      <c r="G491" s="16" t="str">
        <f aca="false">IF($A491="","",SUMIFS('Cash Book'!$D$5:$D$504,'Cash Book'!$G$5:$G$504,$A491))</f>
        <v/>
      </c>
      <c r="H491" s="16" t="str">
        <f aca="false">IF($A491="","",E491-G491)</f>
        <v/>
      </c>
      <c r="I491" s="21" t="str">
        <f aca="true">IF($A491="","",IF(H491&lt;=0,"Paid",IF(F491&lt;TODAY(),"OVERDUE",IF(G491&gt;0,"Part paid","Open"))))</f>
        <v/>
      </c>
      <c r="J491" s="22" t="str">
        <f aca="true">IF($A491="","",IF(AND(H491&gt;0,F491&lt;TODAY()),TODAY()-F491,0))</f>
        <v/>
      </c>
    </row>
    <row r="492" customFormat="false" ht="15" hidden="false" customHeight="false" outlineLevel="0" collapsed="false">
      <c r="A492" s="5"/>
      <c r="B492" s="19"/>
      <c r="C492" s="5"/>
      <c r="D492" s="5"/>
      <c r="E492" s="4"/>
      <c r="F492" s="19"/>
      <c r="G492" s="16" t="str">
        <f aca="false">IF($A492="","",SUMIFS('Cash Book'!$D$5:$D$504,'Cash Book'!$G$5:$G$504,$A492))</f>
        <v/>
      </c>
      <c r="H492" s="16" t="str">
        <f aca="false">IF($A492="","",E492-G492)</f>
        <v/>
      </c>
      <c r="I492" s="21" t="str">
        <f aca="true">IF($A492="","",IF(H492&lt;=0,"Paid",IF(F492&lt;TODAY(),"OVERDUE",IF(G492&gt;0,"Part paid","Open"))))</f>
        <v/>
      </c>
      <c r="J492" s="22" t="str">
        <f aca="true">IF($A492="","",IF(AND(H492&gt;0,F492&lt;TODAY()),TODAY()-F492,0))</f>
        <v/>
      </c>
    </row>
    <row r="493" customFormat="false" ht="15" hidden="false" customHeight="false" outlineLevel="0" collapsed="false">
      <c r="A493" s="5"/>
      <c r="B493" s="19"/>
      <c r="C493" s="5"/>
      <c r="D493" s="5"/>
      <c r="E493" s="4"/>
      <c r="F493" s="19"/>
      <c r="G493" s="16" t="str">
        <f aca="false">IF($A493="","",SUMIFS('Cash Book'!$D$5:$D$504,'Cash Book'!$G$5:$G$504,$A493))</f>
        <v/>
      </c>
      <c r="H493" s="16" t="str">
        <f aca="false">IF($A493="","",E493-G493)</f>
        <v/>
      </c>
      <c r="I493" s="21" t="str">
        <f aca="true">IF($A493="","",IF(H493&lt;=0,"Paid",IF(F493&lt;TODAY(),"OVERDUE",IF(G493&gt;0,"Part paid","Open"))))</f>
        <v/>
      </c>
      <c r="J493" s="22" t="str">
        <f aca="true">IF($A493="","",IF(AND(H493&gt;0,F493&lt;TODAY()),TODAY()-F493,0))</f>
        <v/>
      </c>
    </row>
    <row r="494" customFormat="false" ht="15" hidden="false" customHeight="false" outlineLevel="0" collapsed="false">
      <c r="A494" s="5"/>
      <c r="B494" s="19"/>
      <c r="C494" s="5"/>
      <c r="D494" s="5"/>
      <c r="E494" s="4"/>
      <c r="F494" s="19"/>
      <c r="G494" s="16" t="str">
        <f aca="false">IF($A494="","",SUMIFS('Cash Book'!$D$5:$D$504,'Cash Book'!$G$5:$G$504,$A494))</f>
        <v/>
      </c>
      <c r="H494" s="16" t="str">
        <f aca="false">IF($A494="","",E494-G494)</f>
        <v/>
      </c>
      <c r="I494" s="21" t="str">
        <f aca="true">IF($A494="","",IF(H494&lt;=0,"Paid",IF(F494&lt;TODAY(),"OVERDUE",IF(G494&gt;0,"Part paid","Open"))))</f>
        <v/>
      </c>
      <c r="J494" s="22" t="str">
        <f aca="true">IF($A494="","",IF(AND(H494&gt;0,F494&lt;TODAY()),TODAY()-F494,0))</f>
        <v/>
      </c>
    </row>
    <row r="495" customFormat="false" ht="15" hidden="false" customHeight="false" outlineLevel="0" collapsed="false">
      <c r="A495" s="5"/>
      <c r="B495" s="19"/>
      <c r="C495" s="5"/>
      <c r="D495" s="5"/>
      <c r="E495" s="4"/>
      <c r="F495" s="19"/>
      <c r="G495" s="16" t="str">
        <f aca="false">IF($A495="","",SUMIFS('Cash Book'!$D$5:$D$504,'Cash Book'!$G$5:$G$504,$A495))</f>
        <v/>
      </c>
      <c r="H495" s="16" t="str">
        <f aca="false">IF($A495="","",E495-G495)</f>
        <v/>
      </c>
      <c r="I495" s="21" t="str">
        <f aca="true">IF($A495="","",IF(H495&lt;=0,"Paid",IF(F495&lt;TODAY(),"OVERDUE",IF(G495&gt;0,"Part paid","Open"))))</f>
        <v/>
      </c>
      <c r="J495" s="22" t="str">
        <f aca="true">IF($A495="","",IF(AND(H495&gt;0,F495&lt;TODAY()),TODAY()-F495,0))</f>
        <v/>
      </c>
    </row>
    <row r="496" customFormat="false" ht="15" hidden="false" customHeight="false" outlineLevel="0" collapsed="false">
      <c r="A496" s="5"/>
      <c r="B496" s="19"/>
      <c r="C496" s="5"/>
      <c r="D496" s="5"/>
      <c r="E496" s="4"/>
      <c r="F496" s="19"/>
      <c r="G496" s="16" t="str">
        <f aca="false">IF($A496="","",SUMIFS('Cash Book'!$D$5:$D$504,'Cash Book'!$G$5:$G$504,$A496))</f>
        <v/>
      </c>
      <c r="H496" s="16" t="str">
        <f aca="false">IF($A496="","",E496-G496)</f>
        <v/>
      </c>
      <c r="I496" s="21" t="str">
        <f aca="true">IF($A496="","",IF(H496&lt;=0,"Paid",IF(F496&lt;TODAY(),"OVERDUE",IF(G496&gt;0,"Part paid","Open"))))</f>
        <v/>
      </c>
      <c r="J496" s="22" t="str">
        <f aca="true">IF($A496="","",IF(AND(H496&gt;0,F496&lt;TODAY()),TODAY()-F496,0))</f>
        <v/>
      </c>
    </row>
    <row r="497" customFormat="false" ht="15" hidden="false" customHeight="false" outlineLevel="0" collapsed="false">
      <c r="A497" s="5"/>
      <c r="B497" s="19"/>
      <c r="C497" s="5"/>
      <c r="D497" s="5"/>
      <c r="E497" s="4"/>
      <c r="F497" s="19"/>
      <c r="G497" s="16" t="str">
        <f aca="false">IF($A497="","",SUMIFS('Cash Book'!$D$5:$D$504,'Cash Book'!$G$5:$G$504,$A497))</f>
        <v/>
      </c>
      <c r="H497" s="16" t="str">
        <f aca="false">IF($A497="","",E497-G497)</f>
        <v/>
      </c>
      <c r="I497" s="21" t="str">
        <f aca="true">IF($A497="","",IF(H497&lt;=0,"Paid",IF(F497&lt;TODAY(),"OVERDUE",IF(G497&gt;0,"Part paid","Open"))))</f>
        <v/>
      </c>
      <c r="J497" s="22" t="str">
        <f aca="true">IF($A497="","",IF(AND(H497&gt;0,F497&lt;TODAY()),TODAY()-F497,0))</f>
        <v/>
      </c>
    </row>
    <row r="498" customFormat="false" ht="15" hidden="false" customHeight="false" outlineLevel="0" collapsed="false">
      <c r="A498" s="5"/>
      <c r="B498" s="19"/>
      <c r="C498" s="5"/>
      <c r="D498" s="5"/>
      <c r="E498" s="4"/>
      <c r="F498" s="19"/>
      <c r="G498" s="16" t="str">
        <f aca="false">IF($A498="","",SUMIFS('Cash Book'!$D$5:$D$504,'Cash Book'!$G$5:$G$504,$A498))</f>
        <v/>
      </c>
      <c r="H498" s="16" t="str">
        <f aca="false">IF($A498="","",E498-G498)</f>
        <v/>
      </c>
      <c r="I498" s="21" t="str">
        <f aca="true">IF($A498="","",IF(H498&lt;=0,"Paid",IF(F498&lt;TODAY(),"OVERDUE",IF(G498&gt;0,"Part paid","Open"))))</f>
        <v/>
      </c>
      <c r="J498" s="22" t="str">
        <f aca="true">IF($A498="","",IF(AND(H498&gt;0,F498&lt;TODAY()),TODAY()-F498,0))</f>
        <v/>
      </c>
    </row>
    <row r="499" customFormat="false" ht="15" hidden="false" customHeight="false" outlineLevel="0" collapsed="false">
      <c r="A499" s="5"/>
      <c r="B499" s="19"/>
      <c r="C499" s="5"/>
      <c r="D499" s="5"/>
      <c r="E499" s="4"/>
      <c r="F499" s="19"/>
      <c r="G499" s="16" t="str">
        <f aca="false">IF($A499="","",SUMIFS('Cash Book'!$D$5:$D$504,'Cash Book'!$G$5:$G$504,$A499))</f>
        <v/>
      </c>
      <c r="H499" s="16" t="str">
        <f aca="false">IF($A499="","",E499-G499)</f>
        <v/>
      </c>
      <c r="I499" s="21" t="str">
        <f aca="true">IF($A499="","",IF(H499&lt;=0,"Paid",IF(F499&lt;TODAY(),"OVERDUE",IF(G499&gt;0,"Part paid","Open"))))</f>
        <v/>
      </c>
      <c r="J499" s="22" t="str">
        <f aca="true">IF($A499="","",IF(AND(H499&gt;0,F499&lt;TODAY()),TODAY()-F499,0))</f>
        <v/>
      </c>
    </row>
    <row r="500" customFormat="false" ht="15" hidden="false" customHeight="false" outlineLevel="0" collapsed="false">
      <c r="A500" s="5"/>
      <c r="B500" s="19"/>
      <c r="C500" s="5"/>
      <c r="D500" s="5"/>
      <c r="E500" s="4"/>
      <c r="F500" s="19"/>
      <c r="G500" s="16" t="str">
        <f aca="false">IF($A500="","",SUMIFS('Cash Book'!$D$5:$D$504,'Cash Book'!$G$5:$G$504,$A500))</f>
        <v/>
      </c>
      <c r="H500" s="16" t="str">
        <f aca="false">IF($A500="","",E500-G500)</f>
        <v/>
      </c>
      <c r="I500" s="21" t="str">
        <f aca="true">IF($A500="","",IF(H500&lt;=0,"Paid",IF(F500&lt;TODAY(),"OVERDUE",IF(G500&gt;0,"Part paid","Open"))))</f>
        <v/>
      </c>
      <c r="J500" s="22" t="str">
        <f aca="true">IF($A500="","",IF(AND(H500&gt;0,F500&lt;TODAY()),TODAY()-F500,0))</f>
        <v/>
      </c>
    </row>
    <row r="501" customFormat="false" ht="15" hidden="false" customHeight="false" outlineLevel="0" collapsed="false">
      <c r="A501" s="5"/>
      <c r="B501" s="19"/>
      <c r="C501" s="5"/>
      <c r="D501" s="5"/>
      <c r="E501" s="4"/>
      <c r="F501" s="19"/>
      <c r="G501" s="16" t="str">
        <f aca="false">IF($A501="","",SUMIFS('Cash Book'!$D$5:$D$504,'Cash Book'!$G$5:$G$504,$A501))</f>
        <v/>
      </c>
      <c r="H501" s="16" t="str">
        <f aca="false">IF($A501="","",E501-G501)</f>
        <v/>
      </c>
      <c r="I501" s="21" t="str">
        <f aca="true">IF($A501="","",IF(H501&lt;=0,"Paid",IF(F501&lt;TODAY(),"OVERDUE",IF(G501&gt;0,"Part paid","Open"))))</f>
        <v/>
      </c>
      <c r="J501" s="22" t="str">
        <f aca="true">IF($A501="","",IF(AND(H501&gt;0,F501&lt;TODAY()),TODAY()-F501,0))</f>
        <v/>
      </c>
    </row>
    <row r="502" customFormat="false" ht="15" hidden="false" customHeight="false" outlineLevel="0" collapsed="false">
      <c r="A502" s="5"/>
      <c r="B502" s="19"/>
      <c r="C502" s="5"/>
      <c r="D502" s="5"/>
      <c r="E502" s="4"/>
      <c r="F502" s="19"/>
      <c r="G502" s="16" t="str">
        <f aca="false">IF($A502="","",SUMIFS('Cash Book'!$D$5:$D$504,'Cash Book'!$G$5:$G$504,$A502))</f>
        <v/>
      </c>
      <c r="H502" s="16" t="str">
        <f aca="false">IF($A502="","",E502-G502)</f>
        <v/>
      </c>
      <c r="I502" s="21" t="str">
        <f aca="true">IF($A502="","",IF(H502&lt;=0,"Paid",IF(F502&lt;TODAY(),"OVERDUE",IF(G502&gt;0,"Part paid","Open"))))</f>
        <v/>
      </c>
      <c r="J502" s="22" t="str">
        <f aca="true">IF($A502="","",IF(AND(H502&gt;0,F502&lt;TODAY()),TODAY()-F502,0))</f>
        <v/>
      </c>
    </row>
    <row r="503" customFormat="false" ht="15" hidden="false" customHeight="false" outlineLevel="0" collapsed="false">
      <c r="A503" s="5"/>
      <c r="B503" s="19"/>
      <c r="C503" s="5"/>
      <c r="D503" s="5"/>
      <c r="E503" s="4"/>
      <c r="F503" s="19"/>
      <c r="G503" s="16" t="str">
        <f aca="false">IF($A503="","",SUMIFS('Cash Book'!$D$5:$D$504,'Cash Book'!$G$5:$G$504,$A503))</f>
        <v/>
      </c>
      <c r="H503" s="16" t="str">
        <f aca="false">IF($A503="","",E503-G503)</f>
        <v/>
      </c>
      <c r="I503" s="21" t="str">
        <f aca="true">IF($A503="","",IF(H503&lt;=0,"Paid",IF(F503&lt;TODAY(),"OVERDUE",IF(G503&gt;0,"Part paid","Open"))))</f>
        <v/>
      </c>
      <c r="J503" s="22" t="str">
        <f aca="true">IF($A503="","",IF(AND(H503&gt;0,F503&lt;TODAY()),TODAY()-F503,0))</f>
        <v/>
      </c>
    </row>
    <row r="504" customFormat="false" ht="15" hidden="false" customHeight="false" outlineLevel="0" collapsed="false">
      <c r="A504" s="5"/>
      <c r="B504" s="19"/>
      <c r="C504" s="5"/>
      <c r="D504" s="5"/>
      <c r="E504" s="4"/>
      <c r="F504" s="19"/>
      <c r="G504" s="16" t="str">
        <f aca="false">IF($A504="","",SUMIFS('Cash Book'!$D$5:$D$504,'Cash Book'!$G$5:$G$504,$A504))</f>
        <v/>
      </c>
      <c r="H504" s="16" t="str">
        <f aca="false">IF($A504="","",E504-G504)</f>
        <v/>
      </c>
      <c r="I504" s="21" t="str">
        <f aca="true">IF($A504="","",IF(H504&lt;=0,"Paid",IF(F504&lt;TODAY(),"OVERDUE",IF(G504&gt;0,"Part paid","Open"))))</f>
        <v/>
      </c>
      <c r="J504" s="22" t="str">
        <f aca="true">IF($A504="","",IF(AND(H504&gt;0,F504&lt;TODAY()),TODAY()-F504,0))</f>
        <v/>
      </c>
    </row>
  </sheetData>
  <conditionalFormatting sqref="I5:I504">
    <cfRule type="cellIs" priority="2" operator="equal" aboveAverage="0" equalAverage="0" bottom="0" percent="0" rank="0" text="" dxfId="1">
      <formula>"OVERDUE"</formula>
    </cfRule>
    <cfRule type="cellIs" priority="3" operator="equal" aboveAverage="0" equalAverage="0" bottom="0" percent="0" rank="0" text="" dxfId="2">
      <formula>"Paid"</formula>
    </cfRule>
  </conditionalFormatting>
  <dataValidations count="1">
    <dataValidation allowBlank="true" errorStyle="stop" operator="between" showDropDown="false" showErrorMessage="false" showInputMessage="false" sqref="C5:C504" type="list">
      <formula1>Debtors!$A$7:$A$106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2026-10-07T07:52:17Z</dcterms:created>
  <dc:creator>openpyxl</dc:creator>
  <dc:description/>
  <dc:language>en-US</dc:language>
  <cp:lastModifiedBy/>
  <dcterms:modified xsi:type="dcterms:W3CDTF">2026-10-07T07:52:17Z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